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1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2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3.xml" ContentType="application/vnd.openxmlformats-officedocument.spreadsheetml.pivotTab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omnkuvan.ANT\Downloads\"/>
    </mc:Choice>
  </mc:AlternateContent>
  <xr:revisionPtr revIDLastSave="0" documentId="13_ncr:1_{EDD3C036-E3D7-40B6-8857-36C09B8C8647}" xr6:coauthVersionLast="47" xr6:coauthVersionMax="47" xr10:uidLastSave="{00000000-0000-0000-0000-000000000000}"/>
  <bookViews>
    <workbookView xWindow="15420" yWindow="-21810" windowWidth="38640" windowHeight="21120" tabRatio="732" activeTab="5" xr2:uid="{CD4AAE2D-FE99-4F70-9ECD-0CFA06E7F07D}"/>
  </bookViews>
  <sheets>
    <sheet name="Delivery appts daily" sheetId="1" r:id="rId1"/>
    <sheet name="daily unloaded trailer &amp; receov" sheetId="2" r:id="rId2"/>
    <sheet name="Weekly performance" sheetId="8" r:id="rId3"/>
    <sheet name="Recovered Value by Delay Type" sheetId="4" r:id="rId4"/>
    <sheet name="Average of Resolution Date" sheetId="6" r:id="rId5"/>
    <sheet name="KPI Summary" sheetId="9" r:id="rId6"/>
    <sheet name="weekly performance (pivot)" sheetId="7" r:id="rId7"/>
    <sheet name="Average (pivot)" sheetId="5" r:id="rId8"/>
  </sheets>
  <calcPr calcId="191029"/>
  <pivotCaches>
    <pivotCache cacheId="16" r:id="rId9"/>
    <pivotCache cacheId="17" r:id="rId10"/>
    <pivotCache cacheId="18" r:id="rId11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4" i="9" l="1"/>
  <c r="B3" i="9"/>
  <c r="B2" i="9"/>
  <c r="B8" i="9"/>
  <c r="B7" i="9"/>
  <c r="B6" i="9"/>
  <c r="G3" i="5"/>
  <c r="G4" i="5"/>
  <c r="G5" i="5"/>
  <c r="G6" i="5"/>
  <c r="G7" i="5"/>
  <c r="G8" i="5"/>
  <c r="G9" i="5"/>
  <c r="G10" i="5"/>
  <c r="G11" i="5"/>
  <c r="G12" i="5"/>
  <c r="G13" i="5"/>
  <c r="G14" i="5"/>
  <c r="G15" i="5"/>
  <c r="G16" i="5"/>
  <c r="G17" i="5"/>
  <c r="G18" i="5"/>
  <c r="G19" i="5"/>
  <c r="G20" i="5"/>
  <c r="G21" i="5"/>
  <c r="G22" i="5"/>
  <c r="G23" i="5"/>
  <c r="G24" i="5"/>
  <c r="G25" i="5"/>
  <c r="G26" i="5"/>
  <c r="G27" i="5"/>
  <c r="G28" i="5"/>
  <c r="G29" i="5"/>
  <c r="G30" i="5"/>
  <c r="G31" i="5"/>
  <c r="G32" i="5"/>
  <c r="G33" i="5"/>
  <c r="G34" i="5"/>
  <c r="G35" i="5"/>
  <c r="G36" i="5"/>
  <c r="G37" i="5"/>
  <c r="G38" i="5"/>
  <c r="G39" i="5"/>
  <c r="G40" i="5"/>
  <c r="G41" i="5"/>
  <c r="G42" i="5"/>
  <c r="G43" i="5"/>
  <c r="G44" i="5"/>
  <c r="G45" i="5"/>
  <c r="G46" i="5"/>
  <c r="G47" i="5"/>
  <c r="G48" i="5"/>
  <c r="G49" i="5"/>
  <c r="G50" i="5"/>
  <c r="G51" i="5"/>
  <c r="G52" i="5"/>
  <c r="G53" i="5"/>
  <c r="G54" i="5"/>
  <c r="G55" i="5"/>
  <c r="G56" i="5"/>
  <c r="G57" i="5"/>
  <c r="G58" i="5"/>
  <c r="G59" i="5"/>
  <c r="G60" i="5"/>
  <c r="G2" i="5"/>
  <c r="C3" i="2" a="1"/>
  <c r="C3" i="2" s="1"/>
  <c r="B9" i="9" l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<sst xmlns="http://schemas.openxmlformats.org/spreadsheetml/2006/main" count="408" uniqueCount="92">
  <si>
    <t>Delivery Appointment Number</t>
  </si>
  <si>
    <t>Create Date</t>
  </si>
  <si>
    <t>Resolved Date</t>
  </si>
  <si>
    <t>Status</t>
  </si>
  <si>
    <t>Delay Type</t>
  </si>
  <si>
    <t>Recovered Value</t>
  </si>
  <si>
    <t>TR-154632597</t>
  </si>
  <si>
    <t>Resolved</t>
  </si>
  <si>
    <t>Appointment Delayed</t>
  </si>
  <si>
    <t>TR-154632605</t>
  </si>
  <si>
    <t>Trailer Defect</t>
  </si>
  <si>
    <t>TR-154632604</t>
  </si>
  <si>
    <t>TR-154632636</t>
  </si>
  <si>
    <t>Past Scheduled Date</t>
  </si>
  <si>
    <t>TR-154632615</t>
  </si>
  <si>
    <t>TR-154632623</t>
  </si>
  <si>
    <t>TR-154632630</t>
  </si>
  <si>
    <t>TR-154632594</t>
  </si>
  <si>
    <t>TR-154632595</t>
  </si>
  <si>
    <t>TR-154632612</t>
  </si>
  <si>
    <t>TR-154632601</t>
  </si>
  <si>
    <t>TR-154632619</t>
  </si>
  <si>
    <t>TR-154632631</t>
  </si>
  <si>
    <t>TR-154632622</t>
  </si>
  <si>
    <t>TR-154632585</t>
  </si>
  <si>
    <t>TR-154632613</t>
  </si>
  <si>
    <t>TR-154632591</t>
  </si>
  <si>
    <t>TR-154632633</t>
  </si>
  <si>
    <t>TR-154632617</t>
  </si>
  <si>
    <t>TR-154632609</t>
  </si>
  <si>
    <t>TR-154632596</t>
  </si>
  <si>
    <t>TR-154632600</t>
  </si>
  <si>
    <t>TR-154632580</t>
  </si>
  <si>
    <t>TR-154632627</t>
  </si>
  <si>
    <t>TR-154632614</t>
  </si>
  <si>
    <t>TR-154632618</t>
  </si>
  <si>
    <t>TR-154632578</t>
  </si>
  <si>
    <t>TR-154632582</t>
  </si>
  <si>
    <t>TR-154632599</t>
  </si>
  <si>
    <t>TR-154632581</t>
  </si>
  <si>
    <t>TR-154632632</t>
  </si>
  <si>
    <t>TR-154632602</t>
  </si>
  <si>
    <t>TR-154632620</t>
  </si>
  <si>
    <t>TR-154632583</t>
  </si>
  <si>
    <t>TR-154632634</t>
  </si>
  <si>
    <t>TR-154632588</t>
  </si>
  <si>
    <t>TR-154632628</t>
  </si>
  <si>
    <t>TR-154632606</t>
  </si>
  <si>
    <t>TR-154632624</t>
  </si>
  <si>
    <t>TR-154632586</t>
  </si>
  <si>
    <t>TR-154632610</t>
  </si>
  <si>
    <t>TR-154632608</t>
  </si>
  <si>
    <t>TR-154632592</t>
  </si>
  <si>
    <t>TR-154632590</t>
  </si>
  <si>
    <t>TR-154632626</t>
  </si>
  <si>
    <t>TR-154632587</t>
  </si>
  <si>
    <t>TR-154632593</t>
  </si>
  <si>
    <t>TR-154632629</t>
  </si>
  <si>
    <t>TR-154632579</t>
  </si>
  <si>
    <t>TR-154632607</t>
  </si>
  <si>
    <t>TR-154632625</t>
  </si>
  <si>
    <t>TR-154632598</t>
  </si>
  <si>
    <t>TR-154632616</t>
  </si>
  <si>
    <t>TR-154632584</t>
  </si>
  <si>
    <t>TR-154632603</t>
  </si>
  <si>
    <t>TR-154632621</t>
  </si>
  <si>
    <t>TR-154632635</t>
  </si>
  <si>
    <t>TR-154632611</t>
  </si>
  <si>
    <t>TR-154632589</t>
  </si>
  <si>
    <t>daily unloaded trailer &amp; receovered value</t>
  </si>
  <si>
    <t>unloaded trailer</t>
  </si>
  <si>
    <t>Toplam Recovered Value</t>
  </si>
  <si>
    <t>Genel Toplam</t>
  </si>
  <si>
    <t>Resolution Date</t>
  </si>
  <si>
    <t>Average of Resolution Date</t>
  </si>
  <si>
    <t>Unloaded Trailer</t>
  </si>
  <si>
    <t>1.09.2025 - 7.09.2025</t>
  </si>
  <si>
    <t>8.09.2025 - 14.09.2025</t>
  </si>
  <si>
    <t>15.09.2025 - 21.09.2025</t>
  </si>
  <si>
    <t>22.09.2025 - 26.09.2025</t>
  </si>
  <si>
    <t>Weeks</t>
  </si>
  <si>
    <t>Total  Recovered Value</t>
  </si>
  <si>
    <t>Total Unloaded Trailer</t>
  </si>
  <si>
    <t>KPI Name</t>
  </si>
  <si>
    <t>Value</t>
  </si>
  <si>
    <t>Total Appointments</t>
  </si>
  <si>
    <t>Resolved Count</t>
  </si>
  <si>
    <t>Open Count</t>
  </si>
  <si>
    <t>Average Resolution Time (Days)</t>
  </si>
  <si>
    <t>Total Recovered Value</t>
  </si>
  <si>
    <t>Average Recovered Value</t>
  </si>
  <si>
    <t>Unloaded Trailer Rate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</si>
</sst>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-&quot;₺&quot;* #,##0.00_-;\-&quot;₺&quot;* #,##0.00_-;_-&quot;₺&quot;* &quot;-&quot;??_-;_-@_-"/>
    <numFmt numFmtId="165" formatCode="&quot;$&quot;#,##0.00"/>
    <numFmt numFmtId="166" formatCode="&quot;₺&quot;#,##0.00"/>
    <numFmt numFmtId="167" formatCode="_-[$$-409]* #,##0.00_ ;_-[$$-409]* \-#,##0.00\ ;_-[$$-409]* &quot;-&quot;??_ ;_-@_ 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10">
    <xf numFmtId="0" fontId="0" fillId="0" borderId="0" xfId="0"/>
    <xf numFmtId="14" fontId="0" fillId="0" borderId="0" xfId="0" applyNumberFormat="1"/>
    <xf numFmtId="1" fontId="0" fillId="0" borderId="0" xfId="0" applyNumberFormat="1"/>
    <xf numFmtId="165" fontId="0" fillId="0" borderId="0" xfId="0" applyNumberFormat="1"/>
    <xf numFmtId="0" fontId="0" fillId="0" borderId="0" xfId="0" pivotButton="1"/>
    <xf numFmtId="14" fontId="0" fillId="0" borderId="0" xfId="0" applyNumberFormat="1" applyAlignment="1">
      <alignment horizontal="left"/>
    </xf>
    <xf numFmtId="0" fontId="0" fillId="0" borderId="0" xfId="0" applyAlignment="1">
      <alignment horizontal="left"/>
    </xf>
    <xf numFmtId="167" fontId="0" fillId="0" borderId="0" xfId="1" applyNumberFormat="1" applyFont="1"/>
    <xf numFmtId="167" fontId="0" fillId="0" borderId="0" xfId="0" applyNumberFormat="1"/>
    <xf numFmtId="2" fontId="0" fillId="0" borderId="0" xfId="0" applyNumberFormat="1"/>
  </cellXfs>
  <cellStyles count="2">
    <cellStyle name="Currency" xfId="1" builtinId="4"/>
    <cellStyle name="Normal" xfId="0" builtinId="0"/>
  </cellStyles>
  <dxfs count="12">
    <dxf>
      <numFmt numFmtId="167" formatCode="_-[$$-409]* #,##0.00_ ;_-[$$-409]* \-#,##0.00\ ;_-[$$-409]* &quot;-&quot;??_ ;_-@_ "/>
    </dxf>
    <dxf>
      <numFmt numFmtId="167" formatCode="_-[$$-409]* #,##0.00_ ;_-[$$-409]* \-#,##0.00\ ;_-[$$-409]* &quot;-&quot;??_ ;_-@_ "/>
    </dxf>
    <dxf>
      <numFmt numFmtId="1" formatCode="0"/>
    </dxf>
    <dxf>
      <numFmt numFmtId="1" formatCode="0"/>
    </dxf>
    <dxf>
      <numFmt numFmtId="167" formatCode="_-[$$-409]* #,##0.00_ ;_-[$$-409]* \-#,##0.00\ ;_-[$$-409]* &quot;-&quot;??_ ;_-@_ "/>
    </dxf>
    <dxf>
      <numFmt numFmtId="167" formatCode="_-[$$-409]* #,##0.00_ ;_-[$$-409]* \-#,##0.00\ ;_-[$$-409]* &quot;-&quot;??_ ;_-@_ 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7" formatCode="_-[$$-409]* #,##0.00_ ;_-[$$-409]* \-#,##0.00\ ;_-[$$-409]* &quot;-&quot;??_ ;_-@_ "/>
    </dxf>
    <dxf>
      <numFmt numFmtId="167" formatCode="_-[$$-409]* #,##0.00_ ;_-[$$-409]* \-#,##0.00\ ;_-[$$-409]* &quot;-&quot;??_ ;_-@_ "/>
    </dxf>
    <dxf>
      <numFmt numFmtId="168" formatCode="d/mm/yyyy"/>
    </dxf>
    <dxf>
      <numFmt numFmtId="168" formatCode="d/mm/yyyy"/>
    </dxf>
    <dxf>
      <numFmt numFmtId="168" formatCode="d/mm/yyyy"/>
    </dxf>
    <dxf>
      <numFmt numFmtId="168" formatCode="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ivotCacheDefinition" Target="pivotCache/pivotCacheDefinition3.xml"/><Relationship Id="rId5" Type="http://schemas.openxmlformats.org/officeDocument/2006/relationships/worksheet" Target="worksheets/sheet5.xml"/><Relationship Id="rId15" Type="http://schemas.openxmlformats.org/officeDocument/2006/relationships/sheetMetadata" Target="metadata.xml"/><Relationship Id="rId10" Type="http://schemas.openxmlformats.org/officeDocument/2006/relationships/pivotCacheDefinition" Target="pivotCache/pivotCacheDefinition2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1.xml"/><Relationship Id="rId1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 sz="1800" b="1"/>
              <a:t>D</a:t>
            </a:r>
            <a:r>
              <a:rPr lang="tr-TR" sz="1800" b="1"/>
              <a:t>aily unloaded trailer &amp; </a:t>
            </a:r>
            <a:r>
              <a:rPr lang="en-US" sz="1800" b="1"/>
              <a:t>R</a:t>
            </a:r>
            <a:r>
              <a:rPr lang="tr-TR" sz="1800" b="1"/>
              <a:t>eceov</a:t>
            </a:r>
            <a:r>
              <a:rPr lang="en-US" sz="1800" b="1"/>
              <a:t>ered Value</a:t>
            </a:r>
            <a:endParaRPr lang="tr-TR" sz="1800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'daily unloaded trailer &amp; receov'!$B$2</c:f>
              <c:strCache>
                <c:ptCount val="1"/>
                <c:pt idx="0">
                  <c:v>unloaded trailer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'daily unloaded trailer &amp; receov'!$A$3:$A$20</c:f>
              <c:numCache>
                <c:formatCode>m/d/yyyy</c:formatCode>
                <c:ptCount val="18"/>
                <c:pt idx="0">
                  <c:v>45901</c:v>
                </c:pt>
                <c:pt idx="1">
                  <c:v>45902.95925925926</c:v>
                </c:pt>
                <c:pt idx="2">
                  <c:v>45903</c:v>
                </c:pt>
                <c:pt idx="3">
                  <c:v>45904</c:v>
                </c:pt>
                <c:pt idx="4">
                  <c:v>45905</c:v>
                </c:pt>
                <c:pt idx="5">
                  <c:v>45908.906990740739</c:v>
                </c:pt>
                <c:pt idx="6">
                  <c:v>45909</c:v>
                </c:pt>
                <c:pt idx="7">
                  <c:v>45910</c:v>
                </c:pt>
                <c:pt idx="8">
                  <c:v>45911</c:v>
                </c:pt>
                <c:pt idx="9">
                  <c:v>45912</c:v>
                </c:pt>
                <c:pt idx="10">
                  <c:v>45916</c:v>
                </c:pt>
                <c:pt idx="11">
                  <c:v>45917</c:v>
                </c:pt>
                <c:pt idx="12">
                  <c:v>45918</c:v>
                </c:pt>
                <c:pt idx="13">
                  <c:v>45919</c:v>
                </c:pt>
                <c:pt idx="14">
                  <c:v>45923.953400613427</c:v>
                </c:pt>
                <c:pt idx="15">
                  <c:v>45924.91984667824</c:v>
                </c:pt>
                <c:pt idx="16">
                  <c:v>45925.906431446761</c:v>
                </c:pt>
                <c:pt idx="17">
                  <c:v>45926.982363645831</c:v>
                </c:pt>
              </c:numCache>
            </c:numRef>
          </c:cat>
          <c:val>
            <c:numRef>
              <c:f>'daily unloaded trailer &amp; receov'!$B$3:$B$20</c:f>
              <c:numCache>
                <c:formatCode>General</c:formatCode>
                <c:ptCount val="18"/>
                <c:pt idx="0">
                  <c:v>1</c:v>
                </c:pt>
                <c:pt idx="1">
                  <c:v>4</c:v>
                </c:pt>
                <c:pt idx="2">
                  <c:v>5</c:v>
                </c:pt>
                <c:pt idx="3">
                  <c:v>8</c:v>
                </c:pt>
                <c:pt idx="4">
                  <c:v>3</c:v>
                </c:pt>
                <c:pt idx="5">
                  <c:v>2</c:v>
                </c:pt>
                <c:pt idx="6">
                  <c:v>3</c:v>
                </c:pt>
                <c:pt idx="7">
                  <c:v>5</c:v>
                </c:pt>
                <c:pt idx="8">
                  <c:v>3</c:v>
                </c:pt>
                <c:pt idx="9">
                  <c:v>7</c:v>
                </c:pt>
                <c:pt idx="10">
                  <c:v>6</c:v>
                </c:pt>
                <c:pt idx="11">
                  <c:v>5</c:v>
                </c:pt>
                <c:pt idx="12">
                  <c:v>7</c:v>
                </c:pt>
                <c:pt idx="13">
                  <c:v>5</c:v>
                </c:pt>
                <c:pt idx="14">
                  <c:v>6</c:v>
                </c:pt>
                <c:pt idx="15">
                  <c:v>4</c:v>
                </c:pt>
                <c:pt idx="16">
                  <c:v>5</c:v>
                </c:pt>
                <c:pt idx="17">
                  <c:v>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B37-41D1-9E08-0BACA99C1623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824677807"/>
        <c:axId val="824566511"/>
      </c:barChart>
      <c:lineChart>
        <c:grouping val="standard"/>
        <c:varyColors val="0"/>
        <c:ser>
          <c:idx val="1"/>
          <c:order val="1"/>
          <c:tx>
            <c:strRef>
              <c:f>'daily unloaded trailer &amp; receov'!$C$2</c:f>
              <c:strCache>
                <c:ptCount val="1"/>
                <c:pt idx="0">
                  <c:v>Recovered Value</c:v>
                </c:pt>
              </c:strCache>
            </c:strRef>
          </c:tx>
          <c:spPr>
            <a:ln w="34925" cap="rnd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dLbls>
            <c:dLbl>
              <c:idx val="17"/>
              <c:layout>
                <c:manualLayout>
                  <c:x val="-6.3015748479062807E-3"/>
                  <c:y val="-3.2116784629371273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FB37-41D1-9E08-0BACA99C1623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f>'daily unloaded trailer &amp; receov'!$A$3:$A$20</c:f>
              <c:numCache>
                <c:formatCode>m/d/yyyy</c:formatCode>
                <c:ptCount val="18"/>
                <c:pt idx="0">
                  <c:v>45901</c:v>
                </c:pt>
                <c:pt idx="1">
                  <c:v>45902.95925925926</c:v>
                </c:pt>
                <c:pt idx="2">
                  <c:v>45903</c:v>
                </c:pt>
                <c:pt idx="3">
                  <c:v>45904</c:v>
                </c:pt>
                <c:pt idx="4">
                  <c:v>45905</c:v>
                </c:pt>
                <c:pt idx="5">
                  <c:v>45908.906990740739</c:v>
                </c:pt>
                <c:pt idx="6">
                  <c:v>45909</c:v>
                </c:pt>
                <c:pt idx="7">
                  <c:v>45910</c:v>
                </c:pt>
                <c:pt idx="8">
                  <c:v>45911</c:v>
                </c:pt>
                <c:pt idx="9">
                  <c:v>45912</c:v>
                </c:pt>
                <c:pt idx="10">
                  <c:v>45916</c:v>
                </c:pt>
                <c:pt idx="11">
                  <c:v>45917</c:v>
                </c:pt>
                <c:pt idx="12">
                  <c:v>45918</c:v>
                </c:pt>
                <c:pt idx="13">
                  <c:v>45919</c:v>
                </c:pt>
                <c:pt idx="14">
                  <c:v>45923.953400613427</c:v>
                </c:pt>
                <c:pt idx="15">
                  <c:v>45924.91984667824</c:v>
                </c:pt>
                <c:pt idx="16">
                  <c:v>45925.906431446761</c:v>
                </c:pt>
                <c:pt idx="17">
                  <c:v>45926.982363645831</c:v>
                </c:pt>
              </c:numCache>
            </c:numRef>
          </c:cat>
          <c:val>
            <c:numRef>
              <c:f>'daily unloaded trailer &amp; receov'!$C$3:$C$20</c:f>
              <c:numCache>
                <c:formatCode>"$"#,##0.00</c:formatCode>
                <c:ptCount val="18"/>
                <c:pt idx="0">
                  <c:v>145560.32000000001</c:v>
                </c:pt>
                <c:pt idx="1">
                  <c:v>1710809.77</c:v>
                </c:pt>
                <c:pt idx="2">
                  <c:v>2037698.6</c:v>
                </c:pt>
                <c:pt idx="3">
                  <c:v>2845990.73</c:v>
                </c:pt>
                <c:pt idx="4">
                  <c:v>1919125.18</c:v>
                </c:pt>
                <c:pt idx="5">
                  <c:v>645784.15</c:v>
                </c:pt>
                <c:pt idx="6">
                  <c:v>910997.3</c:v>
                </c:pt>
                <c:pt idx="7">
                  <c:v>2159620.6</c:v>
                </c:pt>
                <c:pt idx="8">
                  <c:v>1593350.16</c:v>
                </c:pt>
                <c:pt idx="9">
                  <c:v>2065716.4699999997</c:v>
                </c:pt>
                <c:pt idx="10">
                  <c:v>1746188.96</c:v>
                </c:pt>
                <c:pt idx="11">
                  <c:v>1363154.9500000002</c:v>
                </c:pt>
                <c:pt idx="12">
                  <c:v>2431936.06</c:v>
                </c:pt>
                <c:pt idx="13">
                  <c:v>605595.30000000005</c:v>
                </c:pt>
                <c:pt idx="14">
                  <c:v>1637632.6</c:v>
                </c:pt>
                <c:pt idx="15">
                  <c:v>913043.87</c:v>
                </c:pt>
                <c:pt idx="16">
                  <c:v>1291568.3</c:v>
                </c:pt>
                <c:pt idx="17">
                  <c:v>2515566.4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B37-41D1-9E08-0BACA99C1623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824567951"/>
        <c:axId val="824566031"/>
      </c:lineChart>
      <c:dateAx>
        <c:axId val="824677807"/>
        <c:scaling>
          <c:orientation val="minMax"/>
        </c:scaling>
        <c:delete val="0"/>
        <c:axPos val="b"/>
        <c:title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m/d/yyyy" sourceLinked="1"/>
        <c:majorTickMark val="out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24566511"/>
        <c:crosses val="autoZero"/>
        <c:auto val="1"/>
        <c:lblOffset val="100"/>
        <c:baseTimeUnit val="days"/>
      </c:dateAx>
      <c:valAx>
        <c:axId val="8245665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/>
                  <a:t>unloaded trailer</a:t>
                </a:r>
                <a:endParaRPr lang="tr-TR" sz="1000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24677807"/>
        <c:crosses val="autoZero"/>
        <c:crossBetween val="between"/>
      </c:valAx>
      <c:valAx>
        <c:axId val="824566031"/>
        <c:scaling>
          <c:orientation val="minMax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/>
                  <a:t>Recovered value</a:t>
                </a:r>
                <a:endParaRPr lang="tr-TR" sz="1000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&quot;$&quot;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24567951"/>
        <c:crosses val="max"/>
        <c:crossBetween val="between"/>
      </c:valAx>
      <c:dateAx>
        <c:axId val="824567951"/>
        <c:scaling>
          <c:orientation val="minMax"/>
        </c:scaling>
        <c:delete val="1"/>
        <c:axPos val="b"/>
        <c:numFmt formatCode="m/d/yyyy" sourceLinked="1"/>
        <c:majorTickMark val="out"/>
        <c:minorTickMark val="none"/>
        <c:tickLblPos val="nextTo"/>
        <c:crossAx val="824566031"/>
        <c:crosses val="autoZero"/>
        <c:auto val="1"/>
        <c:lblOffset val="100"/>
        <c:baseTimeUnit val="days"/>
      </c:dateAx>
      <c:dTable>
        <c:showHorzBorder val="1"/>
        <c:showVertBorder val="1"/>
        <c:showOutline val="1"/>
        <c:showKeys val="1"/>
        <c:spPr>
          <a:noFill/>
          <a:ln w="9525">
            <a:solidFill>
              <a:schemeClr val="lt1">
                <a:lumMod val="95000"/>
                <a:alpha val="54000"/>
              </a:schemeClr>
            </a:solidFill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[Unloaded Trailer &amp; Recovered Value Data.xlsx]Weekly performance!PivotTable34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Weekly Operational</a:t>
            </a:r>
            <a:r>
              <a:rPr lang="en-US" baseline="0"/>
              <a:t> and Financial Performance</a:t>
            </a:r>
            <a:endParaRPr lang="tr-T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layout>
            <c:manualLayout>
              <c:x val="-2.3360287511230975E-2"/>
              <c:y val="-4.3613707165109032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layout>
            <c:manualLayout>
              <c:x val="0"/>
              <c:y val="3.1152647975077882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layout>
            <c:manualLayout>
              <c:x val="-8.9847259658580748E-3"/>
              <c:y val="-1.246105919003121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1"/>
          <c:order val="1"/>
          <c:tx>
            <c:strRef>
              <c:f>'Weekly performance'!$C$3</c:f>
              <c:strCache>
                <c:ptCount val="1"/>
                <c:pt idx="0">
                  <c:v>Total Unloaded Trailer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'Weekly performance'!$A$4:$A$8</c:f>
              <c:strCache>
                <c:ptCount val="4"/>
                <c:pt idx="0">
                  <c:v>1.09.2025 - 7.09.2025</c:v>
                </c:pt>
                <c:pt idx="1">
                  <c:v>8.09.2025 - 14.09.2025</c:v>
                </c:pt>
                <c:pt idx="2">
                  <c:v>15.09.2025 - 21.09.2025</c:v>
                </c:pt>
                <c:pt idx="3">
                  <c:v>22.09.2025 - 26.09.2025</c:v>
                </c:pt>
              </c:strCache>
            </c:strRef>
          </c:cat>
          <c:val>
            <c:numRef>
              <c:f>'Weekly performance'!$C$4:$C$8</c:f>
              <c:numCache>
                <c:formatCode>General</c:formatCode>
                <c:ptCount val="4"/>
                <c:pt idx="0">
                  <c:v>21</c:v>
                </c:pt>
                <c:pt idx="1">
                  <c:v>20</c:v>
                </c:pt>
                <c:pt idx="2">
                  <c:v>23</c:v>
                </c:pt>
                <c:pt idx="3">
                  <c:v>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AA2-434B-8A5A-549442DC8D10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219"/>
        <c:axId val="1354870447"/>
        <c:axId val="1354871407"/>
      </c:barChart>
      <c:lineChart>
        <c:grouping val="stacked"/>
        <c:varyColors val="0"/>
        <c:ser>
          <c:idx val="0"/>
          <c:order val="0"/>
          <c:tx>
            <c:strRef>
              <c:f>'Weekly performance'!$B$3</c:f>
              <c:strCache>
                <c:ptCount val="1"/>
                <c:pt idx="0">
                  <c:v>Total  Recovered Value</c:v>
                </c:pt>
              </c:strCache>
            </c:strRef>
          </c:tx>
          <c:spPr>
            <a:ln w="34925" cap="rnd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>
                <a:solidFill>
                  <a:schemeClr val="accent1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dPt>
            <c:idx val="1"/>
            <c:marker>
              <c:symbol val="circle"/>
              <c:size val="6"/>
              <c:spPr>
                <a:gradFill rotWithShape="1">
                  <a:gsLst>
                    <a:gs pos="0">
                      <a:schemeClr val="accent1">
                        <a:satMod val="103000"/>
                        <a:lumMod val="102000"/>
                        <a:tint val="94000"/>
                      </a:schemeClr>
                    </a:gs>
                    <a:gs pos="50000">
                      <a:schemeClr val="accent1">
                        <a:satMod val="110000"/>
                        <a:lumMod val="100000"/>
                        <a:shade val="100000"/>
                      </a:schemeClr>
                    </a:gs>
                    <a:gs pos="100000">
                      <a:schemeClr val="accent1">
                        <a:lumMod val="99000"/>
                        <a:satMod val="120000"/>
                        <a:shade val="78000"/>
                      </a:schemeClr>
                    </a:gs>
                  </a:gsLst>
                  <a:lin ang="5400000" scaled="0"/>
                </a:gradFill>
                <a:ln w="9525">
                  <a:solidFill>
                    <a:schemeClr val="accent1"/>
                  </a:solidFill>
                  <a:round/>
                </a:ln>
                <a:effectLst>
                  <a:outerShdw blurRad="57150" dist="19050" dir="5400000" algn="ctr" rotWithShape="0">
                    <a:srgbClr val="000000">
                      <a:alpha val="63000"/>
                    </a:srgbClr>
                  </a:outerShdw>
                </a:effectLst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5-CAA2-434B-8A5A-549442DC8D10}"/>
              </c:ext>
            </c:extLst>
          </c:dPt>
          <c:dPt>
            <c:idx val="2"/>
            <c:marker>
              <c:symbol val="circle"/>
              <c:size val="6"/>
              <c:spPr>
                <a:gradFill rotWithShape="1">
                  <a:gsLst>
                    <a:gs pos="0">
                      <a:schemeClr val="accent1">
                        <a:satMod val="103000"/>
                        <a:lumMod val="102000"/>
                        <a:tint val="94000"/>
                      </a:schemeClr>
                    </a:gs>
                    <a:gs pos="50000">
                      <a:schemeClr val="accent1">
                        <a:satMod val="110000"/>
                        <a:lumMod val="100000"/>
                        <a:shade val="100000"/>
                      </a:schemeClr>
                    </a:gs>
                    <a:gs pos="100000">
                      <a:schemeClr val="accent1">
                        <a:lumMod val="99000"/>
                        <a:satMod val="120000"/>
                        <a:shade val="78000"/>
                      </a:schemeClr>
                    </a:gs>
                  </a:gsLst>
                  <a:lin ang="5400000" scaled="0"/>
                </a:gradFill>
                <a:ln w="9525">
                  <a:solidFill>
                    <a:schemeClr val="accent1"/>
                  </a:solidFill>
                  <a:round/>
                </a:ln>
                <a:effectLst>
                  <a:outerShdw blurRad="57150" dist="19050" dir="5400000" algn="ctr" rotWithShape="0">
                    <a:srgbClr val="000000">
                      <a:alpha val="63000"/>
                    </a:srgbClr>
                  </a:outerShdw>
                </a:effectLst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4-CAA2-434B-8A5A-549442DC8D10}"/>
              </c:ext>
            </c:extLst>
          </c:dPt>
          <c:dPt>
            <c:idx val="3"/>
            <c:marker>
              <c:symbol val="circle"/>
              <c:size val="6"/>
              <c:spPr>
                <a:gradFill rotWithShape="1">
                  <a:gsLst>
                    <a:gs pos="0">
                      <a:schemeClr val="accent1">
                        <a:satMod val="103000"/>
                        <a:lumMod val="102000"/>
                        <a:tint val="94000"/>
                      </a:schemeClr>
                    </a:gs>
                    <a:gs pos="50000">
                      <a:schemeClr val="accent1">
                        <a:satMod val="110000"/>
                        <a:lumMod val="100000"/>
                        <a:shade val="100000"/>
                      </a:schemeClr>
                    </a:gs>
                    <a:gs pos="100000">
                      <a:schemeClr val="accent1">
                        <a:lumMod val="99000"/>
                        <a:satMod val="120000"/>
                        <a:shade val="78000"/>
                      </a:schemeClr>
                    </a:gs>
                  </a:gsLst>
                  <a:lin ang="5400000" scaled="0"/>
                </a:gradFill>
                <a:ln w="9525">
                  <a:solidFill>
                    <a:schemeClr val="accent1"/>
                  </a:solidFill>
                  <a:round/>
                </a:ln>
                <a:effectLst>
                  <a:outerShdw blurRad="57150" dist="19050" dir="5400000" algn="ctr" rotWithShape="0">
                    <a:srgbClr val="000000">
                      <a:alpha val="63000"/>
                    </a:srgbClr>
                  </a:outerShdw>
                </a:effectLst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3-CAA2-434B-8A5A-549442DC8D10}"/>
              </c:ext>
            </c:extLst>
          </c:dPt>
          <c:dLbls>
            <c:dLbl>
              <c:idx val="1"/>
              <c:layout>
                <c:manualLayout>
                  <c:x val="-8.9847259658580748E-3"/>
                  <c:y val="-1.246105919003121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CAA2-434B-8A5A-549442DC8D10}"/>
                </c:ext>
              </c:extLst>
            </c:dLbl>
            <c:dLbl>
              <c:idx val="2"/>
              <c:layout>
                <c:manualLayout>
                  <c:x val="0"/>
                  <c:y val="3.1152647975077882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CAA2-434B-8A5A-549442DC8D10}"/>
                </c:ext>
              </c:extLst>
            </c:dLbl>
            <c:dLbl>
              <c:idx val="3"/>
              <c:layout>
                <c:manualLayout>
                  <c:x val="-2.3360287511230975E-2"/>
                  <c:y val="-4.3613707165109032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CAA2-434B-8A5A-549442DC8D10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'Weekly performance'!$A$4:$A$8</c:f>
              <c:strCache>
                <c:ptCount val="4"/>
                <c:pt idx="0">
                  <c:v>1.09.2025 - 7.09.2025</c:v>
                </c:pt>
                <c:pt idx="1">
                  <c:v>8.09.2025 - 14.09.2025</c:v>
                </c:pt>
                <c:pt idx="2">
                  <c:v>15.09.2025 - 21.09.2025</c:v>
                </c:pt>
                <c:pt idx="3">
                  <c:v>22.09.2025 - 26.09.2025</c:v>
                </c:pt>
              </c:strCache>
            </c:strRef>
          </c:cat>
          <c:val>
            <c:numRef>
              <c:f>'Weekly performance'!$B$4:$B$8</c:f>
              <c:numCache>
                <c:formatCode>_-[$$-409]* #,##0.00_ ;_-[$$-409]* \-#,##0.00\ ;_-[$$-409]* "-"??_ ;_-@_ </c:formatCode>
                <c:ptCount val="4"/>
                <c:pt idx="0">
                  <c:v>8659184.5999999996</c:v>
                </c:pt>
                <c:pt idx="1">
                  <c:v>7375468.6800000016</c:v>
                </c:pt>
                <c:pt idx="2">
                  <c:v>6146875.2699999996</c:v>
                </c:pt>
                <c:pt idx="3">
                  <c:v>6958937.5199999996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AA2-434B-8A5A-549442DC8D10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615640239"/>
        <c:axId val="1610188207"/>
      </c:lineChart>
      <c:catAx>
        <c:axId val="1354870447"/>
        <c:scaling>
          <c:orientation val="minMax"/>
        </c:scaling>
        <c:delete val="0"/>
        <c:axPos val="b"/>
        <c:title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54871407"/>
        <c:crosses val="autoZero"/>
        <c:auto val="1"/>
        <c:lblAlgn val="ctr"/>
        <c:lblOffset val="100"/>
        <c:noMultiLvlLbl val="0"/>
      </c:catAx>
      <c:valAx>
        <c:axId val="13548714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Unloaded Trailer</a:t>
                </a:r>
                <a:endParaRPr lang="tr-TR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54870447"/>
        <c:crosses val="autoZero"/>
        <c:crossBetween val="between"/>
      </c:valAx>
      <c:valAx>
        <c:axId val="1610188207"/>
        <c:scaling>
          <c:orientation val="minMax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Recovered Value</a:t>
                </a:r>
                <a:endParaRPr lang="tr-TR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_-[$$-409]* #,##0.00_ ;_-[$$-409]* \-#,##0.00\ ;_-[$$-409]* &quot;-&quot;??_ ;_-@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15640239"/>
        <c:crosses val="max"/>
        <c:crossBetween val="between"/>
      </c:valAx>
      <c:catAx>
        <c:axId val="1615640239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610188207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tx2">
        <a:lumMod val="20000"/>
        <a:lumOff val="80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>
      <a:outerShdw blurRad="50800" dist="50800" dir="5400000" algn="ctr" rotWithShape="0">
        <a:schemeClr val="accent1"/>
      </a:outerShdw>
    </a:effectLst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[Unloaded Trailer &amp; Recovered Value Data.xlsx]Recovered Value by Delay Type!PivotTable28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Recovered Value by Delay Type</a:t>
            </a:r>
            <a:endParaRPr lang="tr-T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accent1">
                <a:lumMod val="75000"/>
              </a:schemeClr>
            </a:solidFill>
            <a:round/>
          </a:ln>
          <a:effectLst/>
          <a:sp3d contourW="9525">
            <a:contourClr>
              <a:schemeClr val="accent1">
                <a:lumMod val="75000"/>
              </a:schemeClr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accent1">
                <a:lumMod val="75000"/>
              </a:schemeClr>
            </a:solidFill>
            <a:round/>
          </a:ln>
          <a:effectLst/>
          <a:sp3d contourW="9525">
            <a:contourClr>
              <a:schemeClr val="accent1">
                <a:lumMod val="75000"/>
              </a:schemeClr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accent1">
                <a:lumMod val="75000"/>
              </a:schemeClr>
            </a:solidFill>
            <a:round/>
          </a:ln>
          <a:effectLst/>
          <a:sp3d contourW="9525">
            <a:contourClr>
              <a:schemeClr val="accent1">
                <a:lumMod val="75000"/>
              </a:schemeClr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0"/>
      <c:rotY val="0"/>
      <c:depthPercent val="60"/>
      <c:rAngAx val="0"/>
      <c:perspective val="100"/>
    </c:view3D>
    <c:floor>
      <c:thickness val="0"/>
      <c:spPr>
        <a:solidFill>
          <a:schemeClr val="lt1">
            <a:lumMod val="95000"/>
          </a:schemeClr>
        </a:solidFill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'Recovered Value by Delay Type'!$B$3:$B$4</c:f>
              <c:strCache>
                <c:ptCount val="1"/>
                <c:pt idx="0">
                  <c:v>Appointment Delayed</c:v>
                </c:pt>
              </c:strCache>
            </c:strRef>
          </c:tx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accent1">
                  <a:lumMod val="75000"/>
                </a:schemeClr>
              </a:solidFill>
              <a:round/>
            </a:ln>
            <a:effectLst/>
            <a:sp3d contourW="9525">
              <a:contourClr>
                <a:schemeClr val="accent1">
                  <a:lumMod val="75000"/>
                </a:schemeClr>
              </a:contourClr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'Recovered Value by Delay Type'!$A$5:$A$24</c:f>
              <c:strCache>
                <c:ptCount val="19"/>
                <c:pt idx="0">
                  <c:v>9/1/2025</c:v>
                </c:pt>
                <c:pt idx="1">
                  <c:v>9/2/2025</c:v>
                </c:pt>
                <c:pt idx="2">
                  <c:v>9/3/2025</c:v>
                </c:pt>
                <c:pt idx="3">
                  <c:v>9/4/2025</c:v>
                </c:pt>
                <c:pt idx="4">
                  <c:v>9/5/2025</c:v>
                </c:pt>
                <c:pt idx="5">
                  <c:v>9/8/2025</c:v>
                </c:pt>
                <c:pt idx="6">
                  <c:v>9/9/2025</c:v>
                </c:pt>
                <c:pt idx="7">
                  <c:v>9/10/2025</c:v>
                </c:pt>
                <c:pt idx="8">
                  <c:v>9/11/2025</c:v>
                </c:pt>
                <c:pt idx="9">
                  <c:v>9/12/2025</c:v>
                </c:pt>
                <c:pt idx="10">
                  <c:v>9/16/2025</c:v>
                </c:pt>
                <c:pt idx="11">
                  <c:v>9/17/2025</c:v>
                </c:pt>
                <c:pt idx="12">
                  <c:v>9/18/2025</c:v>
                </c:pt>
                <c:pt idx="13">
                  <c:v>9/19/2025</c:v>
                </c:pt>
                <c:pt idx="14">
                  <c:v>9/23/2025</c:v>
                </c:pt>
                <c:pt idx="15">
                  <c:v>9/24/2025</c:v>
                </c:pt>
                <c:pt idx="16">
                  <c:v>9/25/2025</c:v>
                </c:pt>
                <c:pt idx="17">
                  <c:v>9/26/2025</c:v>
                </c:pt>
                <c:pt idx="18">
                  <c:v>9/26/2025</c:v>
                </c:pt>
              </c:strCache>
            </c:strRef>
          </c:cat>
          <c:val>
            <c:numRef>
              <c:f>'Recovered Value by Delay Type'!$B$5:$B$24</c:f>
              <c:numCache>
                <c:formatCode>General</c:formatCode>
                <c:ptCount val="19"/>
                <c:pt idx="0">
                  <c:v>145560.32000000001</c:v>
                </c:pt>
                <c:pt idx="2">
                  <c:v>828168</c:v>
                </c:pt>
                <c:pt idx="3">
                  <c:v>945548.23</c:v>
                </c:pt>
                <c:pt idx="4">
                  <c:v>1604005.58</c:v>
                </c:pt>
                <c:pt idx="5">
                  <c:v>645784.15</c:v>
                </c:pt>
                <c:pt idx="6">
                  <c:v>205402</c:v>
                </c:pt>
                <c:pt idx="7">
                  <c:v>879290</c:v>
                </c:pt>
                <c:pt idx="8">
                  <c:v>1271006.58</c:v>
                </c:pt>
                <c:pt idx="9">
                  <c:v>665080</c:v>
                </c:pt>
                <c:pt idx="10">
                  <c:v>1591332.38</c:v>
                </c:pt>
                <c:pt idx="11">
                  <c:v>615005.65</c:v>
                </c:pt>
                <c:pt idx="12">
                  <c:v>754852.32</c:v>
                </c:pt>
                <c:pt idx="13">
                  <c:v>605595.30000000005</c:v>
                </c:pt>
                <c:pt idx="14">
                  <c:v>1637632.6</c:v>
                </c:pt>
                <c:pt idx="16">
                  <c:v>645784.15</c:v>
                </c:pt>
                <c:pt idx="17">
                  <c:v>70266</c:v>
                </c:pt>
                <c:pt idx="18">
                  <c:v>917382.58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548-418E-B28A-478BF3FFA26A}"/>
            </c:ext>
          </c:extLst>
        </c:ser>
        <c:ser>
          <c:idx val="1"/>
          <c:order val="1"/>
          <c:tx>
            <c:strRef>
              <c:f>'Recovered Value by Delay Type'!$C$3:$C$4</c:f>
              <c:strCache>
                <c:ptCount val="1"/>
                <c:pt idx="0">
                  <c:v>Past Scheduled Date</c:v>
                </c:pt>
              </c:strCache>
            </c:strRef>
          </c:tx>
          <c:spPr>
            <a:solidFill>
              <a:schemeClr val="accent2">
                <a:alpha val="85000"/>
              </a:schemeClr>
            </a:solidFill>
            <a:ln w="9525" cap="flat" cmpd="sng" algn="ctr">
              <a:solidFill>
                <a:schemeClr val="accent2">
                  <a:lumMod val="75000"/>
                </a:schemeClr>
              </a:solidFill>
              <a:round/>
            </a:ln>
            <a:effectLst/>
            <a:sp3d contourW="9525">
              <a:contourClr>
                <a:schemeClr val="accent2">
                  <a:lumMod val="75000"/>
                </a:schemeClr>
              </a:contourClr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'Recovered Value by Delay Type'!$A$5:$A$24</c:f>
              <c:strCache>
                <c:ptCount val="19"/>
                <c:pt idx="0">
                  <c:v>9/1/2025</c:v>
                </c:pt>
                <c:pt idx="1">
                  <c:v>9/2/2025</c:v>
                </c:pt>
                <c:pt idx="2">
                  <c:v>9/3/2025</c:v>
                </c:pt>
                <c:pt idx="3">
                  <c:v>9/4/2025</c:v>
                </c:pt>
                <c:pt idx="4">
                  <c:v>9/5/2025</c:v>
                </c:pt>
                <c:pt idx="5">
                  <c:v>9/8/2025</c:v>
                </c:pt>
                <c:pt idx="6">
                  <c:v>9/9/2025</c:v>
                </c:pt>
                <c:pt idx="7">
                  <c:v>9/10/2025</c:v>
                </c:pt>
                <c:pt idx="8">
                  <c:v>9/11/2025</c:v>
                </c:pt>
                <c:pt idx="9">
                  <c:v>9/12/2025</c:v>
                </c:pt>
                <c:pt idx="10">
                  <c:v>9/16/2025</c:v>
                </c:pt>
                <c:pt idx="11">
                  <c:v>9/17/2025</c:v>
                </c:pt>
                <c:pt idx="12">
                  <c:v>9/18/2025</c:v>
                </c:pt>
                <c:pt idx="13">
                  <c:v>9/19/2025</c:v>
                </c:pt>
                <c:pt idx="14">
                  <c:v>9/23/2025</c:v>
                </c:pt>
                <c:pt idx="15">
                  <c:v>9/24/2025</c:v>
                </c:pt>
                <c:pt idx="16">
                  <c:v>9/25/2025</c:v>
                </c:pt>
                <c:pt idx="17">
                  <c:v>9/26/2025</c:v>
                </c:pt>
                <c:pt idx="18">
                  <c:v>9/26/2025</c:v>
                </c:pt>
              </c:strCache>
            </c:strRef>
          </c:cat>
          <c:val>
            <c:numRef>
              <c:f>'Recovered Value by Delay Type'!$C$5:$C$24</c:f>
              <c:numCache>
                <c:formatCode>General</c:formatCode>
                <c:ptCount val="19"/>
                <c:pt idx="1">
                  <c:v>230335.52</c:v>
                </c:pt>
                <c:pt idx="3">
                  <c:v>645784.15</c:v>
                </c:pt>
                <c:pt idx="6">
                  <c:v>542747.30000000005</c:v>
                </c:pt>
                <c:pt idx="7">
                  <c:v>954872.25</c:v>
                </c:pt>
                <c:pt idx="8">
                  <c:v>167487</c:v>
                </c:pt>
                <c:pt idx="9">
                  <c:v>1400636.47</c:v>
                </c:pt>
                <c:pt idx="11">
                  <c:v>205402</c:v>
                </c:pt>
                <c:pt idx="17">
                  <c:v>530860.35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548-418E-B28A-478BF3FFA26A}"/>
            </c:ext>
          </c:extLst>
        </c:ser>
        <c:ser>
          <c:idx val="2"/>
          <c:order val="2"/>
          <c:tx>
            <c:strRef>
              <c:f>'Recovered Value by Delay Type'!$D$3:$D$4</c:f>
              <c:strCache>
                <c:ptCount val="1"/>
                <c:pt idx="0">
                  <c:v>Trailer Defect</c:v>
                </c:pt>
              </c:strCache>
            </c:strRef>
          </c:tx>
          <c:spPr>
            <a:solidFill>
              <a:schemeClr val="accent3">
                <a:alpha val="85000"/>
              </a:schemeClr>
            </a:solidFill>
            <a:ln w="9525" cap="flat" cmpd="sng" algn="ctr">
              <a:solidFill>
                <a:schemeClr val="accent3">
                  <a:lumMod val="75000"/>
                </a:schemeClr>
              </a:solidFill>
              <a:round/>
            </a:ln>
            <a:effectLst/>
            <a:sp3d contourW="9525">
              <a:contourClr>
                <a:schemeClr val="accent3">
                  <a:lumMod val="75000"/>
                </a:schemeClr>
              </a:contourClr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'Recovered Value by Delay Type'!$A$5:$A$24</c:f>
              <c:strCache>
                <c:ptCount val="19"/>
                <c:pt idx="0">
                  <c:v>9/1/2025</c:v>
                </c:pt>
                <c:pt idx="1">
                  <c:v>9/2/2025</c:v>
                </c:pt>
                <c:pt idx="2">
                  <c:v>9/3/2025</c:v>
                </c:pt>
                <c:pt idx="3">
                  <c:v>9/4/2025</c:v>
                </c:pt>
                <c:pt idx="4">
                  <c:v>9/5/2025</c:v>
                </c:pt>
                <c:pt idx="5">
                  <c:v>9/8/2025</c:v>
                </c:pt>
                <c:pt idx="6">
                  <c:v>9/9/2025</c:v>
                </c:pt>
                <c:pt idx="7">
                  <c:v>9/10/2025</c:v>
                </c:pt>
                <c:pt idx="8">
                  <c:v>9/11/2025</c:v>
                </c:pt>
                <c:pt idx="9">
                  <c:v>9/12/2025</c:v>
                </c:pt>
                <c:pt idx="10">
                  <c:v>9/16/2025</c:v>
                </c:pt>
                <c:pt idx="11">
                  <c:v>9/17/2025</c:v>
                </c:pt>
                <c:pt idx="12">
                  <c:v>9/18/2025</c:v>
                </c:pt>
                <c:pt idx="13">
                  <c:v>9/19/2025</c:v>
                </c:pt>
                <c:pt idx="14">
                  <c:v>9/23/2025</c:v>
                </c:pt>
                <c:pt idx="15">
                  <c:v>9/24/2025</c:v>
                </c:pt>
                <c:pt idx="16">
                  <c:v>9/25/2025</c:v>
                </c:pt>
                <c:pt idx="17">
                  <c:v>9/26/2025</c:v>
                </c:pt>
                <c:pt idx="18">
                  <c:v>9/26/2025</c:v>
                </c:pt>
              </c:strCache>
            </c:strRef>
          </c:cat>
          <c:val>
            <c:numRef>
              <c:f>'Recovered Value by Delay Type'!$D$5:$D$24</c:f>
              <c:numCache>
                <c:formatCode>General</c:formatCode>
                <c:ptCount val="19"/>
                <c:pt idx="1">
                  <c:v>1480474.25</c:v>
                </c:pt>
                <c:pt idx="2">
                  <c:v>1209530.6000000001</c:v>
                </c:pt>
                <c:pt idx="3">
                  <c:v>1254658.3500000001</c:v>
                </c:pt>
                <c:pt idx="4">
                  <c:v>315119.59999999998</c:v>
                </c:pt>
                <c:pt idx="6">
                  <c:v>162848</c:v>
                </c:pt>
                <c:pt idx="7">
                  <c:v>325458.34999999998</c:v>
                </c:pt>
                <c:pt idx="8">
                  <c:v>154856.57999999999</c:v>
                </c:pt>
                <c:pt idx="10">
                  <c:v>154856.57999999999</c:v>
                </c:pt>
                <c:pt idx="11">
                  <c:v>542747.30000000005</c:v>
                </c:pt>
                <c:pt idx="12">
                  <c:v>1677083.74</c:v>
                </c:pt>
                <c:pt idx="15">
                  <c:v>913043.87</c:v>
                </c:pt>
                <c:pt idx="16">
                  <c:v>645784.15</c:v>
                </c:pt>
                <c:pt idx="18">
                  <c:v>1598183.82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548-418E-B28A-478BF3FFA26A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65"/>
        <c:shape val="box"/>
        <c:axId val="980991775"/>
        <c:axId val="980993215"/>
        <c:axId val="0"/>
      </c:bar3DChart>
      <c:catAx>
        <c:axId val="98099177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80993215"/>
        <c:crosses val="autoZero"/>
        <c:auto val="1"/>
        <c:lblAlgn val="ctr"/>
        <c:lblOffset val="100"/>
        <c:noMultiLvlLbl val="0"/>
      </c:catAx>
      <c:valAx>
        <c:axId val="9809932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80991775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>
            <a:solidFill>
              <a:schemeClr val="dk1">
                <a:lumMod val="35000"/>
                <a:lumOff val="65000"/>
              </a:schemeClr>
            </a:solidFill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[Unloaded Trailer &amp; Recovered Value Data.xlsx]Average of Resolution Date!PivotTable33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Average of Resolution Date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marker>
          <c:symbol val="none"/>
        </c:marker>
        <c:dLbl>
          <c:idx val="0"/>
          <c:spPr>
            <a:pattFill prst="pct75">
              <a:fgClr>
                <a:sysClr val="windowText" lastClr="000000">
                  <a:lumMod val="75000"/>
                  <a:lumOff val="25000"/>
                </a:sysClr>
              </a:fgClr>
              <a:bgClr>
                <a:sysClr val="windowText" lastClr="000000">
                  <a:lumMod val="65000"/>
                  <a:lumOff val="35000"/>
                </a:sysClr>
              </a:bgClr>
            </a:patt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2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3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4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marker>
          <c:symbol val="none"/>
        </c:marker>
        <c:dLbl>
          <c:idx val="0"/>
          <c:spPr>
            <a:pattFill prst="pct75">
              <a:fgClr>
                <a:sysClr val="windowText" lastClr="000000">
                  <a:lumMod val="75000"/>
                  <a:lumOff val="25000"/>
                </a:sysClr>
              </a:fgClr>
              <a:bgClr>
                <a:sysClr val="windowText" lastClr="000000">
                  <a:lumMod val="65000"/>
                  <a:lumOff val="35000"/>
                </a:sysClr>
              </a:bgClr>
            </a:patt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6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7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</c:pivotFmts>
    <c:plotArea>
      <c:layout/>
      <c:pieChart>
        <c:varyColors val="1"/>
        <c:ser>
          <c:idx val="0"/>
          <c:order val="0"/>
          <c:tx>
            <c:strRef>
              <c:f>'Average of Resolution Date'!$B$3</c:f>
              <c:strCache>
                <c:ptCount val="1"/>
                <c:pt idx="0">
                  <c:v>Average of Resolution Date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A25A-4957-BEFB-DC618E8BDBA3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A25A-4957-BEFB-DC618E8BDBA3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A25A-4957-BEFB-DC618E8BDBA3}"/>
              </c:ext>
            </c:extLst>
          </c:dPt>
          <c:dLbls>
            <c:spPr>
              <a:pattFill prst="pct75">
                <a:fgClr>
                  <a:sysClr val="windowText" lastClr="000000">
                    <a:lumMod val="75000"/>
                    <a:lumOff val="25000"/>
                  </a:sysClr>
                </a:fgClr>
                <a:bgClr>
                  <a:sysClr val="windowText" lastClr="000000">
                    <a:lumMod val="65000"/>
                    <a:lumOff val="35000"/>
                  </a:sys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'Average of Resolution Date'!$A$4:$A$7</c:f>
              <c:strCache>
                <c:ptCount val="3"/>
                <c:pt idx="0">
                  <c:v>Appointment Delayed</c:v>
                </c:pt>
                <c:pt idx="1">
                  <c:v>Past Scheduled Date</c:v>
                </c:pt>
                <c:pt idx="2">
                  <c:v>Trailer Defect</c:v>
                </c:pt>
              </c:strCache>
            </c:strRef>
          </c:cat>
          <c:val>
            <c:numRef>
              <c:f>'Average of Resolution Date'!$B$4:$B$7</c:f>
              <c:numCache>
                <c:formatCode>0</c:formatCode>
                <c:ptCount val="3"/>
                <c:pt idx="0">
                  <c:v>34.083214841820507</c:v>
                </c:pt>
                <c:pt idx="1">
                  <c:v>36.944553684764038</c:v>
                </c:pt>
                <c:pt idx="2">
                  <c:v>36.227390665233195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3CC-4825-B128-11304C1ED3FC}"/>
            </c:ext>
          </c:extLst>
        </c:ser>
        <c:ser>
          <c:idx val="1"/>
          <c:order val="1"/>
          <c:tx>
            <c:strRef>
              <c:f>'Average of Resolution Date'!$C$3</c:f>
              <c:strCache>
                <c:ptCount val="1"/>
                <c:pt idx="0">
                  <c:v>Total Recovered Value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56C7-4F51-AC9D-AD75A954BB9F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56C7-4F51-AC9D-AD75A954BB9F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B-56C7-4F51-AC9D-AD75A954BB9F}"/>
              </c:ext>
            </c:extLst>
          </c:dPt>
          <c:dLbls>
            <c:spPr>
              <a:pattFill prst="pct75">
                <a:fgClr>
                  <a:sysClr val="windowText" lastClr="000000">
                    <a:lumMod val="75000"/>
                    <a:lumOff val="25000"/>
                  </a:sysClr>
                </a:fgClr>
                <a:bgClr>
                  <a:sysClr val="windowText" lastClr="000000">
                    <a:lumMod val="65000"/>
                    <a:lumOff val="35000"/>
                  </a:sys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'Average of Resolution Date'!$A$4:$A$7</c:f>
              <c:strCache>
                <c:ptCount val="3"/>
                <c:pt idx="0">
                  <c:v>Appointment Delayed</c:v>
                </c:pt>
                <c:pt idx="1">
                  <c:v>Past Scheduled Date</c:v>
                </c:pt>
                <c:pt idx="2">
                  <c:v>Trailer Defect</c:v>
                </c:pt>
              </c:strCache>
            </c:strRef>
          </c:cat>
          <c:val>
            <c:numRef>
              <c:f>'Average of Resolution Date'!$C$4:$C$7</c:f>
              <c:numCache>
                <c:formatCode>_-[$$-409]* #,##0.00_ ;_-[$$-409]* \-#,##0.00\ ;_-[$$-409]* "-"??_ ;_-@_ </c:formatCode>
                <c:ptCount val="3"/>
                <c:pt idx="0">
                  <c:v>14027695.840000002</c:v>
                </c:pt>
                <c:pt idx="1">
                  <c:v>4678125.0399999991</c:v>
                </c:pt>
                <c:pt idx="2">
                  <c:v>10434645.189999999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F364-4F28-B1C4-F09999389A4B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l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28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gradFill>
        <a:gsLst>
          <a:gs pos="100000">
            <a:schemeClr val="dk1">
              <a:lumMod val="95000"/>
              <a:lumOff val="5000"/>
            </a:schemeClr>
          </a:gs>
          <a:gs pos="0">
            <a:schemeClr val="dk1">
              <a:lumMod val="75000"/>
              <a:lumOff val="25000"/>
            </a:schemeClr>
          </a:gs>
        </a:gsLst>
        <a:path path="circle">
          <a:fillToRect l="50000" t="50000" r="50000" b="50000"/>
        </a:path>
      </a:gradFill>
      <a:ln w="9525">
        <a:solidFill>
          <a:schemeClr val="dk1">
            <a:lumMod val="75000"/>
            <a:lumOff val="2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/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/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gradFill>
        <a:gsLst>
          <a:gs pos="100000">
            <a:schemeClr val="lt1">
              <a:lumMod val="85000"/>
            </a:schemeClr>
          </a:gs>
          <a:gs pos="0">
            <a:schemeClr val="lt1"/>
          </a:gs>
        </a:gsLst>
        <a:path path="circle">
          <a:fillToRect l="50000" t="50000" r="50000" b="50000"/>
        </a:path>
      </a:gradFill>
      <a:ln w="9525" cap="flat" cmpd="sng" algn="ctr">
        <a:solidFill>
          <a:schemeClr val="lt1"/>
        </a:solidFill>
        <a:round/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35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88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phClr">
            <a:lumMod val="75000"/>
          </a:schemeClr>
        </a:solidFill>
        <a:round/>
      </a:ln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phClr">
            <a:lumMod val="75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sp3d/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/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63499</xdr:colOff>
      <xdr:row>0</xdr:row>
      <xdr:rowOff>126999</xdr:rowOff>
    </xdr:from>
    <xdr:to>
      <xdr:col>33</xdr:col>
      <xdr:colOff>444500</xdr:colOff>
      <xdr:row>46</xdr:row>
      <xdr:rowOff>63500</xdr:rowOff>
    </xdr:to>
    <xdr:graphicFrame macro="">
      <xdr:nvGraphicFramePr>
        <xdr:cNvPr id="4" name="Grafik 3">
          <a:extLst>
            <a:ext uri="{FF2B5EF4-FFF2-40B4-BE49-F238E27FC236}">
              <a16:creationId xmlns:a16="http://schemas.microsoft.com/office/drawing/2014/main" id="{A6133DB5-D9E2-858E-641B-7C39497B871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542925</xdr:colOff>
      <xdr:row>0</xdr:row>
      <xdr:rowOff>123825</xdr:rowOff>
    </xdr:from>
    <xdr:to>
      <xdr:col>14</xdr:col>
      <xdr:colOff>371475</xdr:colOff>
      <xdr:row>22</xdr:row>
      <xdr:rowOff>9525</xdr:rowOff>
    </xdr:to>
    <xdr:graphicFrame macro="">
      <xdr:nvGraphicFramePr>
        <xdr:cNvPr id="3" name="Grafik 2">
          <a:extLst>
            <a:ext uri="{FF2B5EF4-FFF2-40B4-BE49-F238E27FC236}">
              <a16:creationId xmlns:a16="http://schemas.microsoft.com/office/drawing/2014/main" id="{B641F4C4-6D4D-C65D-4692-3AB9CB60321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506184</xdr:colOff>
      <xdr:row>2</xdr:row>
      <xdr:rowOff>148317</xdr:rowOff>
    </xdr:from>
    <xdr:to>
      <xdr:col>30</xdr:col>
      <xdr:colOff>432955</xdr:colOff>
      <xdr:row>35</xdr:row>
      <xdr:rowOff>122464</xdr:rowOff>
    </xdr:to>
    <xdr:graphicFrame macro="">
      <xdr:nvGraphicFramePr>
        <xdr:cNvPr id="2" name="Grafik 1">
          <a:extLst>
            <a:ext uri="{FF2B5EF4-FFF2-40B4-BE49-F238E27FC236}">
              <a16:creationId xmlns:a16="http://schemas.microsoft.com/office/drawing/2014/main" id="{1233D6E3-E22F-5C63-6162-7D063ADA1E8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495300</xdr:colOff>
      <xdr:row>1</xdr:row>
      <xdr:rowOff>114300</xdr:rowOff>
    </xdr:from>
    <xdr:to>
      <xdr:col>11</xdr:col>
      <xdr:colOff>190500</xdr:colOff>
      <xdr:row>16</xdr:row>
      <xdr:rowOff>0</xdr:rowOff>
    </xdr:to>
    <xdr:graphicFrame macro="">
      <xdr:nvGraphicFramePr>
        <xdr:cNvPr id="2" name="Grafik 1">
          <a:extLst>
            <a:ext uri="{FF2B5EF4-FFF2-40B4-BE49-F238E27FC236}">
              <a16:creationId xmlns:a16="http://schemas.microsoft.com/office/drawing/2014/main" id="{67D0BCB6-D6F6-0051-73B7-38E9552C2CE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0</xdr:col>
      <xdr:colOff>161926</xdr:colOff>
      <xdr:row>17</xdr:row>
      <xdr:rowOff>104775</xdr:rowOff>
    </xdr:from>
    <xdr:to>
      <xdr:col>10</xdr:col>
      <xdr:colOff>161925</xdr:colOff>
      <xdr:row>48</xdr:row>
      <xdr:rowOff>86914</xdr:rowOff>
    </xdr:to>
    <xdr:pic>
      <xdr:nvPicPr>
        <xdr:cNvPr id="3" name="Resim 2">
          <a:extLst>
            <a:ext uri="{FF2B5EF4-FFF2-40B4-BE49-F238E27FC236}">
              <a16:creationId xmlns:a16="http://schemas.microsoft.com/office/drawing/2014/main" id="{61E26861-8B08-514E-B25F-2E3072064BC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61926" y="3343275"/>
          <a:ext cx="8867774" cy="5887639"/>
        </a:xfrm>
        <a:prstGeom prst="rect">
          <a:avLst/>
        </a:prstGeom>
      </xdr:spPr>
    </xdr:pic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963.024200694446" createdVersion="8" refreshedVersion="8" minRefreshableVersion="3" recordCount="59" xr:uid="{D268B3A6-4FD5-48BA-BA81-7FC56ADD09D0}">
  <cacheSource type="worksheet">
    <worksheetSource ref="A1:F60" sheet="Delivery appts daily"/>
  </cacheSource>
  <cacheFields count="10">
    <cacheField name="Delivery Appointment Number" numFmtId="0">
      <sharedItems/>
    </cacheField>
    <cacheField name="Create Date" numFmtId="14">
      <sharedItems containsSemiMixedTypes="0" containsNonDate="0" containsDate="1" containsString="0" minDate="2025-09-01T00:00:00" maxDate="2025-09-26T23:34:36" count="19">
        <d v="2025-09-01T00:00:00"/>
        <d v="2025-09-02T23:01:20"/>
        <d v="2025-09-03T00:00:00"/>
        <d v="2025-09-04T00:00:00"/>
        <d v="2025-09-05T00:00:00"/>
        <d v="2025-09-08T21:46:04"/>
        <d v="2025-09-09T00:00:00"/>
        <d v="2025-09-10T00:00:00"/>
        <d v="2025-09-11T00:00:00"/>
        <d v="2025-09-12T00:00:00"/>
        <d v="2025-09-16T00:00:00"/>
        <d v="2025-09-17T00:00:00"/>
        <d v="2025-09-18T00:00:00"/>
        <d v="2025-09-19T00:00:00"/>
        <d v="2025-09-23T22:52:54"/>
        <d v="2025-09-24T22:04:35"/>
        <d v="2025-09-25T21:45:16"/>
        <d v="2025-09-26T23:12:46"/>
        <d v="2025-09-26T23:34:36"/>
      </sharedItems>
      <fieldGroup par="9"/>
    </cacheField>
    <cacheField name="Resolved Date" numFmtId="14">
      <sharedItems containsSemiMixedTypes="0" containsNonDate="0" containsDate="1" containsString="0" minDate="2025-10-01T20:13:57" maxDate="2025-10-30T22:22:28"/>
    </cacheField>
    <cacheField name="Status" numFmtId="0">
      <sharedItems/>
    </cacheField>
    <cacheField name="Delay Type" numFmtId="0">
      <sharedItems count="3">
        <s v="Appointment Delayed"/>
        <s v="Trailer Defect"/>
        <s v="Past Scheduled Date"/>
      </sharedItems>
    </cacheField>
    <cacheField name="Recovered Value" numFmtId="0">
      <sharedItems containsSemiMixedTypes="0" containsString="0" containsNumber="1" minValue="62848" maxValue="1254658.3500000001"/>
    </cacheField>
    <cacheField name="Saniye (Create Date)" numFmtId="0" databaseField="0">
      <fieldGroup base="1">
        <rangePr groupBy="seconds" startDate="2025-09-01T00:00:00" endDate="2025-09-26T23:34:36"/>
        <groupItems count="62">
          <s v="&lt;1.09.2025"/>
          <s v=":00"/>
          <s v=":01"/>
          <s v=":02"/>
          <s v=":03"/>
          <s v=":04"/>
          <s v=":05"/>
          <s v=":06"/>
          <s v=":07"/>
          <s v=":08"/>
          <s v=":09"/>
          <s v=":10"/>
          <s v=":11"/>
          <s v=":12"/>
          <s v=":13"/>
          <s v=":14"/>
          <s v=":15"/>
          <s v=":16"/>
          <s v=":17"/>
          <s v=":18"/>
          <s v=":19"/>
          <s v=":20"/>
          <s v=":21"/>
          <s v=":22"/>
          <s v=":23"/>
          <s v=":24"/>
          <s v=":25"/>
          <s v=":26"/>
          <s v=":27"/>
          <s v=":28"/>
          <s v=":29"/>
          <s v=":30"/>
          <s v=":31"/>
          <s v=":32"/>
          <s v=":33"/>
          <s v=":34"/>
          <s v=":35"/>
          <s v=":36"/>
          <s v=":37"/>
          <s v=":38"/>
          <s v=":39"/>
          <s v=":40"/>
          <s v=":41"/>
          <s v=":42"/>
          <s v=":43"/>
          <s v=":44"/>
          <s v=":45"/>
          <s v=":46"/>
          <s v=":47"/>
          <s v=":48"/>
          <s v=":49"/>
          <s v=":50"/>
          <s v=":51"/>
          <s v=":52"/>
          <s v=":53"/>
          <s v=":54"/>
          <s v=":55"/>
          <s v=":56"/>
          <s v=":57"/>
          <s v=":58"/>
          <s v=":59"/>
          <s v="&gt;26.09.2025"/>
        </groupItems>
      </fieldGroup>
    </cacheField>
    <cacheField name="Dakika (Create Date)" numFmtId="0" databaseField="0">
      <fieldGroup base="1">
        <rangePr groupBy="minutes" startDate="2025-09-01T00:00:00" endDate="2025-09-26T23:34:36"/>
        <groupItems count="62">
          <s v="&lt;1.09.2025"/>
          <s v=":00"/>
          <s v=":01"/>
          <s v=":02"/>
          <s v=":03"/>
          <s v=":04"/>
          <s v=":05"/>
          <s v=":06"/>
          <s v=":07"/>
          <s v=":08"/>
          <s v=":09"/>
          <s v=":10"/>
          <s v=":11"/>
          <s v=":12"/>
          <s v=":13"/>
          <s v=":14"/>
          <s v=":15"/>
          <s v=":16"/>
          <s v=":17"/>
          <s v=":18"/>
          <s v=":19"/>
          <s v=":20"/>
          <s v=":21"/>
          <s v=":22"/>
          <s v=":23"/>
          <s v=":24"/>
          <s v=":25"/>
          <s v=":26"/>
          <s v=":27"/>
          <s v=":28"/>
          <s v=":29"/>
          <s v=":30"/>
          <s v=":31"/>
          <s v=":32"/>
          <s v=":33"/>
          <s v=":34"/>
          <s v=":35"/>
          <s v=":36"/>
          <s v=":37"/>
          <s v=":38"/>
          <s v=":39"/>
          <s v=":40"/>
          <s v=":41"/>
          <s v=":42"/>
          <s v=":43"/>
          <s v=":44"/>
          <s v=":45"/>
          <s v=":46"/>
          <s v=":47"/>
          <s v=":48"/>
          <s v=":49"/>
          <s v=":50"/>
          <s v=":51"/>
          <s v=":52"/>
          <s v=":53"/>
          <s v=":54"/>
          <s v=":55"/>
          <s v=":56"/>
          <s v=":57"/>
          <s v=":58"/>
          <s v=":59"/>
          <s v="&gt;26.09.2025"/>
        </groupItems>
      </fieldGroup>
    </cacheField>
    <cacheField name="Saat (Create Date)" numFmtId="0" databaseField="0">
      <fieldGroup base="1">
        <rangePr groupBy="hours" startDate="2025-09-01T00:00:00" endDate="2025-09-26T23:34:36"/>
        <groupItems count="26">
          <s v="&lt;1.09.2025"/>
          <s v="00"/>
          <s v="01"/>
          <s v="02"/>
          <s v="03"/>
          <s v="04"/>
          <s v="05"/>
          <s v="06"/>
          <s v="07"/>
          <s v="08"/>
          <s v="09"/>
          <s v="10"/>
          <s v="11"/>
          <s v="12"/>
          <s v="13"/>
          <s v="14"/>
          <s v="15"/>
          <s v="16"/>
          <s v="17"/>
          <s v="18"/>
          <s v="19"/>
          <s v="20"/>
          <s v="21"/>
          <s v="22"/>
          <s v="23"/>
          <s v="&gt;26.09.2025"/>
        </groupItems>
      </fieldGroup>
    </cacheField>
    <cacheField name="Gün (Create Date)" numFmtId="0" databaseField="0">
      <fieldGroup base="1">
        <rangePr groupBy="days" startDate="2025-09-01T00:00:00" endDate="2025-09-26T23:34:36"/>
        <groupItems count="368">
          <s v="&lt;1.09.2025"/>
          <s v="1.Oca"/>
          <s v="2.Oca"/>
          <s v="3.Oca"/>
          <s v="4.Oca"/>
          <s v="5.Oca"/>
          <s v="6.Oca"/>
          <s v="7.Oca"/>
          <s v="8.Oca"/>
          <s v="9.Oca"/>
          <s v="10.Oca"/>
          <s v="11.Oca"/>
          <s v="12.Oca"/>
          <s v="13.Oca"/>
          <s v="14.Oca"/>
          <s v="15.Oca"/>
          <s v="16.Oca"/>
          <s v="17.Oca"/>
          <s v="18.Oca"/>
          <s v="19.Oca"/>
          <s v="20.Oca"/>
          <s v="21.Oca"/>
          <s v="22.Oca"/>
          <s v="23.Oca"/>
          <s v="24.Oca"/>
          <s v="25.Oca"/>
          <s v="26.Oca"/>
          <s v="27.Oca"/>
          <s v="28.Oca"/>
          <s v="29.Oca"/>
          <s v="30.Oca"/>
          <s v="31.Oca"/>
          <s v="1.Şub"/>
          <s v="2.Şub"/>
          <s v="3.Şub"/>
          <s v="4.Şub"/>
          <s v="5.Şub"/>
          <s v="6.Şub"/>
          <s v="7.Şub"/>
          <s v="8.Şub"/>
          <s v="9.Şub"/>
          <s v="10.Şub"/>
          <s v="11.Şub"/>
          <s v="12.Şub"/>
          <s v="13.Şub"/>
          <s v="14.Şub"/>
          <s v="15.Şub"/>
          <s v="16.Şub"/>
          <s v="17.Şub"/>
          <s v="18.Şub"/>
          <s v="19.Şub"/>
          <s v="20.Şub"/>
          <s v="21.Şub"/>
          <s v="22.Şub"/>
          <s v="23.Şub"/>
          <s v="24.Şub"/>
          <s v="25.Şub"/>
          <s v="26.Şub"/>
          <s v="27.Şub"/>
          <s v="28.Şub"/>
          <s v="29.Şub"/>
          <s v="1.Mar"/>
          <s v="2.Mar"/>
          <s v="3.Mar"/>
          <s v="4.Mar"/>
          <s v="5.Mar"/>
          <s v="6.Mar"/>
          <s v="7.Mar"/>
          <s v="8.Mar"/>
          <s v="9.Mar"/>
          <s v="10.Mar"/>
          <s v="11.Mar"/>
          <s v="12.Mar"/>
          <s v="13.Mar"/>
          <s v="14.Mar"/>
          <s v="15.Mar"/>
          <s v="16.Mar"/>
          <s v="17.Mar"/>
          <s v="18.Mar"/>
          <s v="19.Mar"/>
          <s v="20.Mar"/>
          <s v="21.Mar"/>
          <s v="22.Mar"/>
          <s v="23.Mar"/>
          <s v="24.Mar"/>
          <s v="25.Mar"/>
          <s v="26.Mar"/>
          <s v="27.Mar"/>
          <s v="28.Mar"/>
          <s v="29.Mar"/>
          <s v="30.Mar"/>
          <s v="31.Mar"/>
          <s v="1.Nis"/>
          <s v="2.Nis"/>
          <s v="3.Nis"/>
          <s v="4.Nis"/>
          <s v="5.Nis"/>
          <s v="6.Nis"/>
          <s v="7.Nis"/>
          <s v="8.Nis"/>
          <s v="9.Nis"/>
          <s v="10.Nis"/>
          <s v="11.Nis"/>
          <s v="12.Nis"/>
          <s v="13.Nis"/>
          <s v="14.Nis"/>
          <s v="15.Nis"/>
          <s v="16.Nis"/>
          <s v="17.Nis"/>
          <s v="18.Nis"/>
          <s v="19.Nis"/>
          <s v="20.Nis"/>
          <s v="21.Nis"/>
          <s v="22.Nis"/>
          <s v="23.Nis"/>
          <s v="24.Nis"/>
          <s v="25.Nis"/>
          <s v="26.Nis"/>
          <s v="27.Nis"/>
          <s v="28.Nis"/>
          <s v="29.Nis"/>
          <s v="30.Nis"/>
          <s v="1.May"/>
          <s v="2.May"/>
          <s v="3.May"/>
          <s v="4.May"/>
          <s v="5.May"/>
          <s v="6.May"/>
          <s v="7.May"/>
          <s v="8.May"/>
          <s v="9.May"/>
          <s v="10.May"/>
          <s v="11.May"/>
          <s v="12.May"/>
          <s v="13.May"/>
          <s v="14.May"/>
          <s v="15.May"/>
          <s v="16.May"/>
          <s v="17.May"/>
          <s v="18.May"/>
          <s v="19.May"/>
          <s v="20.May"/>
          <s v="21.May"/>
          <s v="22.May"/>
          <s v="23.May"/>
          <s v="24.May"/>
          <s v="25.May"/>
          <s v="26.May"/>
          <s v="27.May"/>
          <s v="28.May"/>
          <s v="29.May"/>
          <s v="30.May"/>
          <s v="31.May"/>
          <s v="1.Haz"/>
          <s v="2.Haz"/>
          <s v="3.Haz"/>
          <s v="4.Haz"/>
          <s v="5.Haz"/>
          <s v="6.Haz"/>
          <s v="7.Haz"/>
          <s v="8.Haz"/>
          <s v="9.Haz"/>
          <s v="10.Haz"/>
          <s v="11.Haz"/>
          <s v="12.Haz"/>
          <s v="13.Haz"/>
          <s v="14.Haz"/>
          <s v="15.Haz"/>
          <s v="16.Haz"/>
          <s v="17.Haz"/>
          <s v="18.Haz"/>
          <s v="19.Haz"/>
          <s v="20.Haz"/>
          <s v="21.Haz"/>
          <s v="22.Haz"/>
          <s v="23.Haz"/>
          <s v="24.Haz"/>
          <s v="25.Haz"/>
          <s v="26.Haz"/>
          <s v="27.Haz"/>
          <s v="28.Haz"/>
          <s v="29.Haz"/>
          <s v="30.Haz"/>
          <s v="1.Tem"/>
          <s v="2.Tem"/>
          <s v="3.Tem"/>
          <s v="4.Tem"/>
          <s v="5.Tem"/>
          <s v="6.Tem"/>
          <s v="7.Tem"/>
          <s v="8.Tem"/>
          <s v="9.Tem"/>
          <s v="10.Tem"/>
          <s v="11.Tem"/>
          <s v="12.Tem"/>
          <s v="13.Tem"/>
          <s v="14.Tem"/>
          <s v="15.Tem"/>
          <s v="16.Tem"/>
          <s v="17.Tem"/>
          <s v="18.Tem"/>
          <s v="19.Tem"/>
          <s v="20.Tem"/>
          <s v="21.Tem"/>
          <s v="22.Tem"/>
          <s v="23.Tem"/>
          <s v="24.Tem"/>
          <s v="25.Tem"/>
          <s v="26.Tem"/>
          <s v="27.Tem"/>
          <s v="28.Tem"/>
          <s v="29.Tem"/>
          <s v="30.Tem"/>
          <s v="31.Tem"/>
          <s v="1.Ağu"/>
          <s v="2.Ağu"/>
          <s v="3.Ağu"/>
          <s v="4.Ağu"/>
          <s v="5.Ağu"/>
          <s v="6.Ağu"/>
          <s v="7.Ağu"/>
          <s v="8.Ağu"/>
          <s v="9.Ağu"/>
          <s v="10.Ağu"/>
          <s v="11.Ağu"/>
          <s v="12.Ağu"/>
          <s v="13.Ağu"/>
          <s v="14.Ağu"/>
          <s v="15.Ağu"/>
          <s v="16.Ağu"/>
          <s v="17.Ağu"/>
          <s v="18.Ağu"/>
          <s v="19.Ağu"/>
          <s v="20.Ağu"/>
          <s v="21.Ağu"/>
          <s v="22.Ağu"/>
          <s v="23.Ağu"/>
          <s v="24.Ağu"/>
          <s v="25.Ağu"/>
          <s v="26.Ağu"/>
          <s v="27.Ağu"/>
          <s v="28.Ağu"/>
          <s v="29.Ağu"/>
          <s v="30.Ağu"/>
          <s v="31.Ağu"/>
          <s v="1.Eyl"/>
          <s v="2.Eyl"/>
          <s v="3.Eyl"/>
          <s v="4.Eyl"/>
          <s v="5.Eyl"/>
          <s v="6.Eyl"/>
          <s v="7.Eyl"/>
          <s v="8.Eyl"/>
          <s v="9.Eyl"/>
          <s v="10.Eyl"/>
          <s v="11.Eyl"/>
          <s v="12.Eyl"/>
          <s v="13.Eyl"/>
          <s v="14.Eyl"/>
          <s v="15.Eyl"/>
          <s v="16.Eyl"/>
          <s v="17.Eyl"/>
          <s v="18.Eyl"/>
          <s v="19.Eyl"/>
          <s v="20.Eyl"/>
          <s v="21.Eyl"/>
          <s v="22.Eyl"/>
          <s v="23.Eyl"/>
          <s v="24.Eyl"/>
          <s v="25.Eyl"/>
          <s v="26.Eyl"/>
          <s v="27.Eyl"/>
          <s v="28.Eyl"/>
          <s v="29.Eyl"/>
          <s v="30.Eyl"/>
          <s v="1.Eki"/>
          <s v="2.Eki"/>
          <s v="3.Eki"/>
          <s v="4.Eki"/>
          <s v="5.Eki"/>
          <s v="6.Eki"/>
          <s v="7.Eki"/>
          <s v="8.Eki"/>
          <s v="9.Eki"/>
          <s v="10.Eki"/>
          <s v="11.Eki"/>
          <s v="12.Eki"/>
          <s v="13.Eki"/>
          <s v="14.Eki"/>
          <s v="15.Eki"/>
          <s v="16.Eki"/>
          <s v="17.Eki"/>
          <s v="18.Eki"/>
          <s v="19.Eki"/>
          <s v="20.Eki"/>
          <s v="21.Eki"/>
          <s v="22.Eki"/>
          <s v="23.Eki"/>
          <s v="24.Eki"/>
          <s v="25.Eki"/>
          <s v="26.Eki"/>
          <s v="27.Eki"/>
          <s v="28.Eki"/>
          <s v="29.Eki"/>
          <s v="30.Eki"/>
          <s v="31.Eki"/>
          <s v="1.Kas"/>
          <s v="2.Kas"/>
          <s v="3.Kas"/>
          <s v="4.Kas"/>
          <s v="5.Kas"/>
          <s v="6.Kas"/>
          <s v="7.Kas"/>
          <s v="8.Kas"/>
          <s v="9.Kas"/>
          <s v="10.Kas"/>
          <s v="11.Kas"/>
          <s v="12.Kas"/>
          <s v="13.Kas"/>
          <s v="14.Kas"/>
          <s v="15.Kas"/>
          <s v="16.Kas"/>
          <s v="17.Kas"/>
          <s v="18.Kas"/>
          <s v="19.Kas"/>
          <s v="20.Kas"/>
          <s v="21.Kas"/>
          <s v="22.Kas"/>
          <s v="23.Kas"/>
          <s v="24.Kas"/>
          <s v="25.Kas"/>
          <s v="26.Kas"/>
          <s v="27.Kas"/>
          <s v="28.Kas"/>
          <s v="29.Kas"/>
          <s v="30.Kas"/>
          <s v="1.Ara"/>
          <s v="2.Ara"/>
          <s v="3.Ara"/>
          <s v="4.Ara"/>
          <s v="5.Ara"/>
          <s v="6.Ara"/>
          <s v="7.Ara"/>
          <s v="8.Ara"/>
          <s v="9.Ara"/>
          <s v="10.Ara"/>
          <s v="11.Ara"/>
          <s v="12.Ara"/>
          <s v="13.Ara"/>
          <s v="14.Ara"/>
          <s v="15.Ara"/>
          <s v="16.Ara"/>
          <s v="17.Ara"/>
          <s v="18.Ara"/>
          <s v="19.Ara"/>
          <s v="20.Ara"/>
          <s v="21.Ara"/>
          <s v="22.Ara"/>
          <s v="23.Ara"/>
          <s v="24.Ara"/>
          <s v="25.Ara"/>
          <s v="26.Ara"/>
          <s v="27.Ara"/>
          <s v="28.Ara"/>
          <s v="29.Ara"/>
          <s v="30.Ara"/>
          <s v="31.Ara"/>
          <s v="&gt;26.09.2025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963.03732152778" createdVersion="8" refreshedVersion="8" minRefreshableVersion="3" recordCount="59" xr:uid="{03914988-7348-40DC-8FD5-2218A4265A5B}">
  <cacheSource type="worksheet">
    <worksheetSource ref="A1:G60" sheet="Average (pivot)"/>
  </cacheSource>
  <cacheFields count="7">
    <cacheField name="Delivery Appointment Number" numFmtId="0">
      <sharedItems/>
    </cacheField>
    <cacheField name="Create Date" numFmtId="14">
      <sharedItems containsSemiMixedTypes="0" containsNonDate="0" containsDate="1" containsString="0" minDate="2025-09-01T00:00:00" maxDate="2025-09-26T23:34:36"/>
    </cacheField>
    <cacheField name="Resolved Date" numFmtId="14">
      <sharedItems containsSemiMixedTypes="0" containsNonDate="0" containsDate="1" containsString="0" minDate="2025-10-01T20:13:57" maxDate="2025-10-30T22:22:28"/>
    </cacheField>
    <cacheField name="Status" numFmtId="0">
      <sharedItems/>
    </cacheField>
    <cacheField name="Delay Type" numFmtId="0">
      <sharedItems count="3">
        <s v="Appointment Delayed"/>
        <s v="Trailer Defect"/>
        <s v="Past Scheduled Date"/>
      </sharedItems>
    </cacheField>
    <cacheField name="Recovered Value" numFmtId="166">
      <sharedItems containsSemiMixedTypes="0" containsString="0" containsNumber="1" minValue="62848" maxValue="1254658.3500000001"/>
    </cacheField>
    <cacheField name="Resolution Date" numFmtId="1">
      <sharedItems containsSemiMixedTypes="0" containsString="0" containsNumber="1" minValue="7.8896202661999268" maxValue="57.965323078700749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963.053512500002" createdVersion="8" refreshedVersion="8" minRefreshableVersion="3" recordCount="59" xr:uid="{1271C61B-D501-470D-9413-16A3F37930B3}">
  <cacheSource type="worksheet">
    <worksheetSource ref="A1:C60" sheet="weekly performance (pivot)"/>
  </cacheSource>
  <cacheFields count="4">
    <cacheField name="Create Date" numFmtId="14">
      <sharedItems containsSemiMixedTypes="0" containsNonDate="0" containsDate="1" containsString="0" minDate="2025-09-01T00:00:00" maxDate="2025-09-26T23:34:36" count="19">
        <d v="2025-09-01T00:00:00"/>
        <d v="2025-09-02T23:01:20"/>
        <d v="2025-09-03T00:00:00"/>
        <d v="2025-09-04T00:00:00"/>
        <d v="2025-09-05T00:00:00"/>
        <d v="2025-09-08T21:46:04"/>
        <d v="2025-09-09T00:00:00"/>
        <d v="2025-09-10T00:00:00"/>
        <d v="2025-09-11T00:00:00"/>
        <d v="2025-09-12T00:00:00"/>
        <d v="2025-09-16T00:00:00"/>
        <d v="2025-09-17T00:00:00"/>
        <d v="2025-09-18T00:00:00"/>
        <d v="2025-09-19T00:00:00"/>
        <d v="2025-09-23T22:52:54"/>
        <d v="2025-09-24T22:04:35"/>
        <d v="2025-09-25T21:45:16"/>
        <d v="2025-09-26T23:12:46"/>
        <d v="2025-09-26T23:34:36"/>
      </sharedItems>
      <fieldGroup par="3"/>
    </cacheField>
    <cacheField name="Recovered Value" numFmtId="166">
      <sharedItems containsSemiMixedTypes="0" containsString="0" containsNumber="1" minValue="62848" maxValue="1254658.3500000001"/>
    </cacheField>
    <cacheField name="Unloaded Trailer" numFmtId="0">
      <sharedItems containsSemiMixedTypes="0" containsString="0" containsNumber="1" containsInteger="1" minValue="0" maxValue="4" count="5">
        <n v="1"/>
        <n v="2"/>
        <n v="0"/>
        <n v="3"/>
        <n v="4"/>
      </sharedItems>
    </cacheField>
    <cacheField name="Gün (Create Date)" numFmtId="0" databaseField="0">
      <fieldGroup base="0">
        <rangePr groupBy="days" startDate="2025-09-01T00:00:00" endDate="2025-09-26T23:34:36" groupInterval="7"/>
        <groupItems count="6">
          <s v="&lt;1.09.2025"/>
          <s v="1.09.2025 - 7.09.2025"/>
          <s v="8.09.2025 - 14.09.2025"/>
          <s v="15.09.2025 - 21.09.2025"/>
          <s v="22.09.2025 - 26.09.2025"/>
          <s v="&gt;26.09.2025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9">
  <r>
    <s v="TR-154632597"/>
    <x v="0"/>
    <d v="2025-10-08T18:32:49"/>
    <s v="Resolved"/>
    <x v="0"/>
    <n v="145560.32000000001"/>
  </r>
  <r>
    <s v="TR-154632605"/>
    <x v="1"/>
    <d v="2025-10-30T22:11:24"/>
    <s v="Resolved"/>
    <x v="1"/>
    <n v="954872.25"/>
  </r>
  <r>
    <s v="TR-154632604"/>
    <x v="1"/>
    <d v="2025-10-16T22:22:49"/>
    <s v="Resolved"/>
    <x v="1"/>
    <n v="525602"/>
  </r>
  <r>
    <s v="TR-154632636"/>
    <x v="1"/>
    <d v="2025-10-13T19:22:33"/>
    <s v="Resolved"/>
    <x v="2"/>
    <n v="167487.51999999999"/>
  </r>
  <r>
    <s v="TR-154632615"/>
    <x v="1"/>
    <d v="2025-10-17T21:22:46"/>
    <s v="Resolved"/>
    <x v="2"/>
    <n v="62848"/>
  </r>
  <r>
    <s v="TR-154632623"/>
    <x v="2"/>
    <d v="2025-10-22T20:16:43"/>
    <s v="Resolved"/>
    <x v="1"/>
    <n v="954872.25"/>
  </r>
  <r>
    <s v="TR-154632630"/>
    <x v="2"/>
    <d v="2025-10-15T22:58:10"/>
    <s v="Resolved"/>
    <x v="1"/>
    <n v="254658.35"/>
  </r>
  <r>
    <s v="TR-154632594"/>
    <x v="2"/>
    <d v="2025-10-07T22:24:48"/>
    <s v="Resolved"/>
    <x v="0"/>
    <n v="142726"/>
  </r>
  <r>
    <s v="TR-154632595"/>
    <x v="2"/>
    <d v="2025-10-27T23:42:46"/>
    <s v="Resolved"/>
    <x v="0"/>
    <n v="685442"/>
  </r>
  <r>
    <s v="TR-154632612"/>
    <x v="3"/>
    <d v="2025-10-13T19:03:38"/>
    <s v="Resolved"/>
    <x v="1"/>
    <n v="1254658.3500000001"/>
  </r>
  <r>
    <s v="TR-154632601"/>
    <x v="3"/>
    <d v="2025-10-15T21:09:08"/>
    <s v="Resolved"/>
    <x v="0"/>
    <n v="945548.23"/>
  </r>
  <r>
    <s v="TR-154632619"/>
    <x v="3"/>
    <d v="2025-10-21T18:58:30"/>
    <s v="Resolved"/>
    <x v="2"/>
    <n v="645784.15"/>
  </r>
  <r>
    <s v="TR-154632631"/>
    <x v="4"/>
    <d v="2025-10-21T19:52:30"/>
    <s v="Resolved"/>
    <x v="1"/>
    <n v="315119.59999999998"/>
  </r>
  <r>
    <s v="TR-154632622"/>
    <x v="4"/>
    <d v="2025-10-30T22:22:28"/>
    <s v="Resolved"/>
    <x v="0"/>
    <n v="658457.35"/>
  </r>
  <r>
    <s v="TR-154632585"/>
    <x v="4"/>
    <d v="2025-10-29T17:18:08"/>
    <s v="Resolved"/>
    <x v="0"/>
    <n v="945548.23"/>
  </r>
  <r>
    <s v="TR-154632613"/>
    <x v="5"/>
    <d v="2025-10-21T22:33:14"/>
    <s v="Resolved"/>
    <x v="0"/>
    <n v="645784.15"/>
  </r>
  <r>
    <s v="TR-154632591"/>
    <x v="6"/>
    <d v="2025-10-28T20:11:22"/>
    <s v="Resolved"/>
    <x v="0"/>
    <n v="205402"/>
  </r>
  <r>
    <s v="TR-154632633"/>
    <x v="6"/>
    <d v="2025-10-23T17:59:01"/>
    <s v="Resolved"/>
    <x v="1"/>
    <n v="162848"/>
  </r>
  <r>
    <s v="TR-154632617"/>
    <x v="6"/>
    <d v="2025-10-08T16:48:04"/>
    <s v="Resolved"/>
    <x v="2"/>
    <n v="542747.30000000005"/>
  </r>
  <r>
    <s v="TR-154632609"/>
    <x v="7"/>
    <d v="2025-10-24T17:53:35"/>
    <s v="Resolved"/>
    <x v="1"/>
    <n v="325458.34999999998"/>
  </r>
  <r>
    <s v="TR-154632596"/>
    <x v="7"/>
    <d v="2025-10-15T22:19:33"/>
    <s v="Resolved"/>
    <x v="0"/>
    <n v="800850"/>
  </r>
  <r>
    <s v="TR-154632600"/>
    <x v="7"/>
    <d v="2025-10-06T23:32:15"/>
    <s v="Resolved"/>
    <x v="0"/>
    <n v="78440"/>
  </r>
  <r>
    <s v="TR-154632580"/>
    <x v="7"/>
    <d v="2025-10-29T20:26:46"/>
    <s v="Resolved"/>
    <x v="2"/>
    <n v="954872.25"/>
  </r>
  <r>
    <s v="TR-154632627"/>
    <x v="8"/>
    <d v="2025-10-09T17:40:09"/>
    <s v="Resolved"/>
    <x v="0"/>
    <n v="325458.34999999998"/>
  </r>
  <r>
    <s v="TR-154632614"/>
    <x v="8"/>
    <d v="2025-10-27T23:54:43"/>
    <s v="Resolved"/>
    <x v="1"/>
    <n v="154856.57999999999"/>
  </r>
  <r>
    <s v="TR-154632618"/>
    <x v="8"/>
    <d v="2025-10-23T17:10:59"/>
    <s v="Resolved"/>
    <x v="2"/>
    <n v="167487"/>
  </r>
  <r>
    <s v="TR-154632578"/>
    <x v="8"/>
    <d v="2025-10-17T20:46:33"/>
    <s v="Resolved"/>
    <x v="0"/>
    <n v="945548.23"/>
  </r>
  <r>
    <s v="TR-154632582"/>
    <x v="9"/>
    <d v="2025-10-17T21:43:16"/>
    <s v="Resolved"/>
    <x v="2"/>
    <n v="645784.15"/>
  </r>
  <r>
    <s v="TR-154632599"/>
    <x v="9"/>
    <d v="2025-10-14T23:43:23"/>
    <s v="Resolved"/>
    <x v="0"/>
    <n v="665080"/>
  </r>
  <r>
    <s v="TR-154632581"/>
    <x v="9"/>
    <d v="2025-10-20T22:51:49"/>
    <s v="Resolved"/>
    <x v="2"/>
    <n v="754852.32"/>
  </r>
  <r>
    <s v="TR-154632632"/>
    <x v="10"/>
    <d v="2025-10-28T23:46:25"/>
    <s v="Resolved"/>
    <x v="1"/>
    <n v="154856.57999999999"/>
  </r>
  <r>
    <s v="TR-154632602"/>
    <x v="10"/>
    <d v="2025-10-29T22:00:06"/>
    <s v="Resolved"/>
    <x v="0"/>
    <n v="945548.23"/>
  </r>
  <r>
    <s v="TR-154632620"/>
    <x v="10"/>
    <d v="2025-10-10T21:38:56"/>
    <s v="Resolved"/>
    <x v="0"/>
    <n v="645784.15"/>
  </r>
  <r>
    <s v="TR-154632583"/>
    <x v="11"/>
    <d v="2025-10-16T22:07:16"/>
    <s v="Resolved"/>
    <x v="2"/>
    <n v="205402"/>
  </r>
  <r>
    <s v="TR-154632634"/>
    <x v="11"/>
    <d v="2025-10-27T19:16:32"/>
    <s v="Resolved"/>
    <x v="0"/>
    <n v="162848"/>
  </r>
  <r>
    <s v="TR-154632588"/>
    <x v="11"/>
    <d v="2025-10-22T22:12:59"/>
    <s v="Resolved"/>
    <x v="1"/>
    <n v="542747.30000000005"/>
  </r>
  <r>
    <s v="TR-154632628"/>
    <x v="11"/>
    <d v="2025-10-06T23:50:14"/>
    <s v="Resolved"/>
    <x v="0"/>
    <n v="452157.65"/>
  </r>
  <r>
    <s v="TR-154632606"/>
    <x v="12"/>
    <d v="2025-10-01T21:51:35"/>
    <s v="Resolved"/>
    <x v="1"/>
    <n v="754852.32"/>
  </r>
  <r>
    <s v="TR-154632624"/>
    <x v="12"/>
    <d v="2025-10-24T20:03:33"/>
    <s v="Resolved"/>
    <x v="0"/>
    <n v="754852.32"/>
  </r>
  <r>
    <s v="TR-154632586"/>
    <x v="12"/>
    <d v="2025-10-21T21:16:30"/>
    <s v="Resolved"/>
    <x v="1"/>
    <n v="254586.52"/>
  </r>
  <r>
    <s v="TR-154632610"/>
    <x v="12"/>
    <d v="2025-10-13T19:14:35"/>
    <s v="Resolved"/>
    <x v="1"/>
    <n v="452157.65"/>
  </r>
  <r>
    <s v="TR-154632608"/>
    <x v="12"/>
    <d v="2025-10-17T21:40:14"/>
    <s v="Resolved"/>
    <x v="1"/>
    <n v="215487.25"/>
  </r>
  <r>
    <s v="TR-154632592"/>
    <x v="13"/>
    <d v="2025-10-15T22:46:36"/>
    <s v="Resolved"/>
    <x v="0"/>
    <n v="542747.30000000005"/>
  </r>
  <r>
    <s v="TR-154632590"/>
    <x v="13"/>
    <d v="2025-10-03T19:07:08"/>
    <s v="Resolved"/>
    <x v="0"/>
    <n v="62848"/>
  </r>
  <r>
    <s v="TR-154632626"/>
    <x v="14"/>
    <d v="2025-10-01T20:13:57"/>
    <s v="Resolved"/>
    <x v="0"/>
    <n v="215487.25"/>
  </r>
  <r>
    <s v="TR-154632587"/>
    <x v="14"/>
    <d v="2025-10-24T23:16:45"/>
    <s v="Resolved"/>
    <x v="0"/>
    <n v="1254658.3500000001"/>
  </r>
  <r>
    <s v="TR-154632593"/>
    <x v="14"/>
    <d v="2025-10-30T17:30:56"/>
    <s v="Resolved"/>
    <x v="0"/>
    <n v="167487"/>
  </r>
  <r>
    <s v="TR-154632629"/>
    <x v="15"/>
    <d v="2025-10-28T23:59:36"/>
    <s v="Resolved"/>
    <x v="1"/>
    <n v="254586.52"/>
  </r>
  <r>
    <s v="TR-154632579"/>
    <x v="15"/>
    <d v="2025-10-17T20:47:42"/>
    <s v="Resolved"/>
    <x v="1"/>
    <n v="658457.35"/>
  </r>
  <r>
    <s v="TR-154632607"/>
    <x v="16"/>
    <d v="2025-10-21T19:10:16"/>
    <s v="Resolved"/>
    <x v="1"/>
    <n v="645784.15"/>
  </r>
  <r>
    <s v="TR-154632625"/>
    <x v="16"/>
    <d v="2025-10-27T20:05:55"/>
    <s v="Resolved"/>
    <x v="0"/>
    <n v="645784.15"/>
  </r>
  <r>
    <s v="TR-154632598"/>
    <x v="17"/>
    <d v="2025-10-15T22:29:12"/>
    <s v="Resolved"/>
    <x v="0"/>
    <n v="70266"/>
  </r>
  <r>
    <s v="TR-154632616"/>
    <x v="17"/>
    <d v="2025-10-21T19:42:41"/>
    <s v="Resolved"/>
    <x v="2"/>
    <n v="205402"/>
  </r>
  <r>
    <s v="TR-154632584"/>
    <x v="17"/>
    <d v="2025-10-17T21:15:16"/>
    <s v="Resolved"/>
    <x v="2"/>
    <n v="325458.34999999998"/>
  </r>
  <r>
    <s v="TR-154632603"/>
    <x v="18"/>
    <d v="2025-10-13T22:30:08"/>
    <s v="Resolved"/>
    <x v="0"/>
    <n v="762526"/>
  </r>
  <r>
    <s v="TR-154632621"/>
    <x v="18"/>
    <d v="2025-10-23T16:58:11"/>
    <s v="Resolved"/>
    <x v="1"/>
    <n v="800850"/>
  </r>
  <r>
    <s v="TR-154632635"/>
    <x v="18"/>
    <d v="2025-10-27T21:25:32"/>
    <s v="Resolved"/>
    <x v="1"/>
    <n v="542747.30000000005"/>
  </r>
  <r>
    <s v="TR-154632611"/>
    <x v="18"/>
    <d v="2025-10-16T22:21:03"/>
    <s v="Resolved"/>
    <x v="1"/>
    <n v="254586.52"/>
  </r>
  <r>
    <s v="TR-154632589"/>
    <x v="18"/>
    <d v="2025-10-30T21:20:47"/>
    <s v="Resolved"/>
    <x v="0"/>
    <n v="154856.57999999999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9">
  <r>
    <s v="TR-154632597"/>
    <d v="2025-09-01T00:00:00"/>
    <d v="2025-10-08T18:32:49"/>
    <s v="Resolved"/>
    <x v="0"/>
    <n v="145560.32000000001"/>
    <n v="37.772789918984927"/>
  </r>
  <r>
    <s v="TR-154632605"/>
    <d v="2025-09-02T23:01:20"/>
    <d v="2025-10-30T22:11:24"/>
    <s v="Resolved"/>
    <x v="1"/>
    <n v="954872.25"/>
    <n v="57.965323078700749"/>
  </r>
  <r>
    <s v="TR-154632604"/>
    <d v="2025-09-02T23:01:20"/>
    <d v="2025-10-16T22:22:49"/>
    <s v="Resolved"/>
    <x v="1"/>
    <n v="525602"/>
    <n v="43.973255937497015"/>
  </r>
  <r>
    <s v="TR-154632636"/>
    <d v="2025-09-02T23:01:20"/>
    <d v="2025-10-13T19:22:33"/>
    <s v="Resolved"/>
    <x v="2"/>
    <n v="167487.51999999999"/>
    <n v="40.848063437500969"/>
  </r>
  <r>
    <s v="TR-154632615"/>
    <d v="2025-09-02T23:01:20"/>
    <d v="2025-10-17T21:22:46"/>
    <s v="Resolved"/>
    <x v="2"/>
    <n v="62848"/>
    <n v="44.931545497682237"/>
  </r>
  <r>
    <s v="TR-154632623"/>
    <d v="2025-09-03T00:00:00"/>
    <d v="2025-10-22T20:16:43"/>
    <s v="Resolved"/>
    <x v="1"/>
    <n v="954872.25"/>
    <n v="49.844946863428049"/>
  </r>
  <r>
    <s v="TR-154632630"/>
    <d v="2025-09-03T00:00:00"/>
    <d v="2025-10-15T22:58:10"/>
    <s v="Resolved"/>
    <x v="1"/>
    <n v="254658.35"/>
    <n v="42.957056030092645"/>
  </r>
  <r>
    <s v="TR-154632594"/>
    <d v="2025-09-03T00:00:00"/>
    <d v="2025-10-07T22:24:48"/>
    <s v="Resolved"/>
    <x v="0"/>
    <n v="142726"/>
    <n v="34.933894201385556"/>
  </r>
  <r>
    <s v="TR-154632595"/>
    <d v="2025-09-03T00:00:00"/>
    <d v="2025-10-27T23:42:46"/>
    <s v="Resolved"/>
    <x v="0"/>
    <n v="685442"/>
    <n v="54.988031412038254"/>
  </r>
  <r>
    <s v="TR-154632612"/>
    <d v="2025-09-04T00:00:00"/>
    <d v="2025-10-13T19:03:38"/>
    <s v="Resolved"/>
    <x v="1"/>
    <n v="1254658.3500000001"/>
    <n v="39.794194803238497"/>
  </r>
  <r>
    <s v="TR-154632601"/>
    <d v="2025-09-04T00:00:00"/>
    <d v="2025-10-15T21:09:08"/>
    <s v="Resolved"/>
    <x v="0"/>
    <n v="945548.23"/>
    <n v="41.881341921296553"/>
  </r>
  <r>
    <s v="TR-154632619"/>
    <d v="2025-09-04T00:00:00"/>
    <d v="2025-10-21T18:58:30"/>
    <s v="Resolved"/>
    <x v="2"/>
    <n v="645784.15"/>
    <n v="47.790627002315887"/>
  </r>
  <r>
    <s v="TR-154632631"/>
    <d v="2025-09-05T00:00:00"/>
    <d v="2025-10-21T19:52:30"/>
    <s v="Resolved"/>
    <x v="1"/>
    <n v="315119.59999999998"/>
    <n v="46.828128159722837"/>
  </r>
  <r>
    <s v="TR-154632622"/>
    <d v="2025-09-05T00:00:00"/>
    <d v="2025-10-30T22:22:28"/>
    <s v="Resolved"/>
    <x v="0"/>
    <n v="658457.35"/>
    <n v="55.932266481482657"/>
  </r>
  <r>
    <s v="TR-154632585"/>
    <d v="2025-09-05T00:00:00"/>
    <d v="2025-10-29T17:18:08"/>
    <s v="Resolved"/>
    <x v="0"/>
    <n v="945548.23"/>
    <n v="54.720920405095967"/>
  </r>
  <r>
    <s v="TR-154632613"/>
    <d v="2025-09-08T21:46:04"/>
    <d v="2025-10-21T22:33:14"/>
    <s v="Resolved"/>
    <x v="0"/>
    <n v="645784.15"/>
    <n v="43.032758125002147"/>
  </r>
  <r>
    <s v="TR-154632591"/>
    <d v="2025-09-09T00:00:00"/>
    <d v="2025-10-28T20:11:22"/>
    <s v="Resolved"/>
    <x v="0"/>
    <n v="205402"/>
    <n v="49.841225254633173"/>
  </r>
  <r>
    <s v="TR-154632633"/>
    <d v="2025-09-09T00:00:00"/>
    <d v="2025-10-23T17:59:01"/>
    <s v="Resolved"/>
    <x v="1"/>
    <n v="162848"/>
    <n v="44.749311655090423"/>
  </r>
  <r>
    <s v="TR-154632617"/>
    <d v="2025-09-09T00:00:00"/>
    <d v="2025-10-08T16:48:04"/>
    <s v="Resolved"/>
    <x v="2"/>
    <n v="542747.30000000005"/>
    <n v="29.700051122687"/>
  </r>
  <r>
    <s v="TR-154632609"/>
    <d v="2025-09-10T00:00:00"/>
    <d v="2025-10-24T17:53:35"/>
    <s v="Resolved"/>
    <x v="1"/>
    <n v="325458.34999999998"/>
    <n v="44.745541388889251"/>
  </r>
  <r>
    <s v="TR-154632596"/>
    <d v="2025-09-10T00:00:00"/>
    <d v="2025-10-15T22:19:33"/>
    <s v="Resolved"/>
    <x v="0"/>
    <n v="800850"/>
    <n v="35.93024124999647"/>
  </r>
  <r>
    <s v="TR-154632600"/>
    <d v="2025-09-10T00:00:00"/>
    <d v="2025-10-06T23:32:15"/>
    <s v="Resolved"/>
    <x v="0"/>
    <n v="78440"/>
    <n v="26.980733344906184"/>
  </r>
  <r>
    <s v="TR-154632580"/>
    <d v="2025-09-10T00:00:00"/>
    <d v="2025-10-29T20:26:46"/>
    <s v="Resolved"/>
    <x v="2"/>
    <n v="954872.25"/>
    <n v="49.851920960645657"/>
  </r>
  <r>
    <s v="TR-154632627"/>
    <d v="2025-09-11T00:00:00"/>
    <d v="2025-10-09T17:40:09"/>
    <s v="Resolved"/>
    <x v="0"/>
    <n v="325458.34999999998"/>
    <n v="28.736218599537096"/>
  </r>
  <r>
    <s v="TR-154632614"/>
    <d v="2025-09-11T00:00:00"/>
    <d v="2025-10-27T23:54:43"/>
    <s v="Resolved"/>
    <x v="1"/>
    <n v="154856.57999999999"/>
    <n v="46.996327210646996"/>
  </r>
  <r>
    <s v="TR-154632618"/>
    <d v="2025-09-11T00:00:00"/>
    <d v="2025-10-23T17:10:59"/>
    <s v="Resolved"/>
    <x v="2"/>
    <n v="167487"/>
    <n v="42.715959710651077"/>
  </r>
  <r>
    <s v="TR-154632578"/>
    <d v="2025-09-11T00:00:00"/>
    <d v="2025-10-17T20:46:33"/>
    <s v="Resolved"/>
    <x v="0"/>
    <n v="945548.23"/>
    <n v="36.86565554398112"/>
  </r>
  <r>
    <s v="TR-154632582"/>
    <d v="2025-09-12T00:00:00"/>
    <d v="2025-10-17T21:43:16"/>
    <s v="Resolved"/>
    <x v="2"/>
    <n v="645784.15"/>
    <n v="35.905042048609175"/>
  </r>
  <r>
    <s v="TR-154632599"/>
    <d v="2025-09-12T00:00:00"/>
    <d v="2025-10-14T23:43:23"/>
    <s v="Resolved"/>
    <x v="0"/>
    <n v="665080"/>
    <n v="32.988465486108907"/>
  </r>
  <r>
    <s v="TR-154632581"/>
    <d v="2025-09-12T00:00:00"/>
    <d v="2025-10-20T22:51:49"/>
    <s v="Resolved"/>
    <x v="2"/>
    <n v="754852.32"/>
    <n v="38.95265015046607"/>
  </r>
  <r>
    <s v="TR-154632632"/>
    <d v="2025-09-16T00:00:00"/>
    <d v="2025-10-28T23:46:25"/>
    <s v="Resolved"/>
    <x v="1"/>
    <n v="154856.57999999999"/>
    <n v="42.990568136570801"/>
  </r>
  <r>
    <s v="TR-154632602"/>
    <d v="2025-09-16T00:00:00"/>
    <d v="2025-10-29T22:00:06"/>
    <s v="Resolved"/>
    <x v="0"/>
    <n v="945548.23"/>
    <n v="43.916741666667804"/>
  </r>
  <r>
    <s v="TR-154632620"/>
    <d v="2025-09-16T00:00:00"/>
    <d v="2025-10-10T21:38:56"/>
    <s v="Resolved"/>
    <x v="0"/>
    <n v="645784.15"/>
    <n v="24.902040358792874"/>
  </r>
  <r>
    <s v="TR-154632583"/>
    <d v="2025-09-17T00:00:00"/>
    <d v="2025-10-16T22:07:16"/>
    <s v="Resolved"/>
    <x v="2"/>
    <n v="205402"/>
    <n v="29.921713854164409"/>
  </r>
  <r>
    <s v="TR-154632634"/>
    <d v="2025-09-17T00:00:00"/>
    <d v="2025-10-27T19:16:32"/>
    <s v="Resolved"/>
    <x v="0"/>
    <n v="162848"/>
    <n v="40.803147060185438"/>
  </r>
  <r>
    <s v="TR-154632588"/>
    <d v="2025-09-17T00:00:00"/>
    <d v="2025-10-22T22:12:59"/>
    <s v="Resolved"/>
    <x v="1"/>
    <n v="542747.30000000005"/>
    <n v="35.92568394675618"/>
  </r>
  <r>
    <s v="TR-154632628"/>
    <d v="2025-09-17T00:00:00"/>
    <d v="2025-10-06T23:50:14"/>
    <s v="Resolved"/>
    <x v="0"/>
    <n v="452157.65"/>
    <n v="19.993217592593282"/>
  </r>
  <r>
    <s v="TR-154632606"/>
    <d v="2025-09-18T00:00:00"/>
    <d v="2025-10-01T21:51:35"/>
    <s v="Resolved"/>
    <x v="1"/>
    <n v="754852.32"/>
    <n v="13.910820636570861"/>
  </r>
  <r>
    <s v="TR-154632624"/>
    <d v="2025-09-18T00:00:00"/>
    <d v="2025-10-24T20:03:33"/>
    <s v="Resolved"/>
    <x v="0"/>
    <n v="754852.32"/>
    <n v="36.835803067129746"/>
  </r>
  <r>
    <s v="TR-154632586"/>
    <d v="2025-09-18T00:00:00"/>
    <d v="2025-10-21T21:16:30"/>
    <s v="Resolved"/>
    <x v="1"/>
    <n v="254586.52"/>
    <n v="33.886460266206996"/>
  </r>
  <r>
    <s v="TR-154632610"/>
    <d v="2025-09-18T00:00:00"/>
    <d v="2025-10-13T19:14:35"/>
    <s v="Resolved"/>
    <x v="1"/>
    <n v="452157.65"/>
    <n v="25.801790219906252"/>
  </r>
  <r>
    <s v="TR-154632608"/>
    <d v="2025-09-18T00:00:00"/>
    <d v="2025-10-17T21:40:14"/>
    <s v="Resolved"/>
    <x v="1"/>
    <n v="215487.25"/>
    <n v="29.902939270832576"/>
  </r>
  <r>
    <s v="TR-154632592"/>
    <d v="2025-09-19T00:00:00"/>
    <d v="2025-10-15T22:46:36"/>
    <s v="Resolved"/>
    <x v="0"/>
    <n v="542747.30000000005"/>
    <n v="26.949032395830727"/>
  </r>
  <r>
    <s v="TR-154632590"/>
    <d v="2025-09-19T00:00:00"/>
    <d v="2025-10-03T19:07:08"/>
    <s v="Resolved"/>
    <x v="0"/>
    <n v="62848"/>
    <n v="14.796624525464722"/>
  </r>
  <r>
    <s v="TR-154632626"/>
    <d v="2025-09-23T22:52:54"/>
    <d v="2025-10-01T20:13:57"/>
    <s v="Resolved"/>
    <x v="0"/>
    <n v="215487.25"/>
    <n v="7.8896202661999268"/>
  </r>
  <r>
    <s v="TR-154632587"/>
    <d v="2025-09-23T22:52:54"/>
    <d v="2025-10-24T23:16:45"/>
    <s v="Resolved"/>
    <x v="0"/>
    <n v="1254658.3500000001"/>
    <n v="31.016570104162383"/>
  </r>
  <r>
    <s v="TR-154632593"/>
    <d v="2025-09-23T22:52:54"/>
    <d v="2025-10-30T17:30:56"/>
    <s v="Resolved"/>
    <x v="0"/>
    <n v="167487"/>
    <n v="36.776409768513986"/>
  </r>
  <r>
    <s v="TR-154632629"/>
    <d v="2025-09-24T22:04:35"/>
    <d v="2025-10-28T23:59:36"/>
    <s v="Resolved"/>
    <x v="1"/>
    <n v="254586.52"/>
    <n v="34.079880949073413"/>
  </r>
  <r>
    <s v="TR-154632579"/>
    <d v="2025-09-24T22:04:35"/>
    <d v="2025-10-17T20:47:42"/>
    <s v="Resolved"/>
    <x v="1"/>
    <n v="658457.35"/>
    <n v="22.946617152781982"/>
  </r>
  <r>
    <s v="TR-154632607"/>
    <d v="2025-09-25T21:45:16"/>
    <d v="2025-10-21T19:10:16"/>
    <s v="Resolved"/>
    <x v="1"/>
    <n v="645784.15"/>
    <n v="25.892363495368045"/>
  </r>
  <r>
    <s v="TR-154632625"/>
    <d v="2025-09-25T21:45:16"/>
    <d v="2025-10-27T20:05:55"/>
    <s v="Resolved"/>
    <x v="0"/>
    <n v="645784.15"/>
    <n v="31.931007997685811"/>
  </r>
  <r>
    <s v="TR-154632598"/>
    <d v="2025-09-26T23:12:46"/>
    <d v="2025-10-15T22:29:12"/>
    <s v="Resolved"/>
    <x v="0"/>
    <n v="70266"/>
    <n v="18.969746585644316"/>
  </r>
  <r>
    <s v="TR-154632616"/>
    <d v="2025-09-26T23:12:46"/>
    <d v="2025-10-21T19:42:41"/>
    <s v="Resolved"/>
    <x v="2"/>
    <n v="205402"/>
    <n v="24.854108761574025"/>
  </r>
  <r>
    <s v="TR-154632584"/>
    <d v="2025-09-26T23:12:46"/>
    <d v="2025-10-17T21:15:16"/>
    <s v="Resolved"/>
    <x v="2"/>
    <n v="325458.34999999998"/>
    <n v="20.918407986107923"/>
  </r>
  <r>
    <s v="TR-154632603"/>
    <d v="2025-09-26T23:34:36"/>
    <d v="2025-10-13T22:30:08"/>
    <s v="Resolved"/>
    <x v="0"/>
    <n v="762526"/>
    <n v="16.955230347222823"/>
  </r>
  <r>
    <s v="TR-154632621"/>
    <d v="2025-09-26T23:34:36"/>
    <d v="2025-10-23T16:58:11"/>
    <s v="Resolved"/>
    <x v="1"/>
    <n v="800850"/>
    <n v="26.724711388887954"/>
  </r>
  <r>
    <s v="TR-154632635"/>
    <d v="2025-09-26T23:34:36"/>
    <d v="2025-10-27T21:25:32"/>
    <s v="Resolved"/>
    <x v="1"/>
    <n v="542747.30000000005"/>
    <n v="30.910366145835724"/>
  </r>
  <r>
    <s v="TR-154632611"/>
    <d v="2025-09-26T23:34:36"/>
    <d v="2025-10-16T22:21:03"/>
    <s v="Resolved"/>
    <x v="1"/>
    <n v="254586.52"/>
    <n v="19.948917233799875"/>
  </r>
  <r>
    <s v="TR-154632589"/>
    <d v="2025-09-26T23:34:36"/>
    <d v="2025-10-30T21:20:47"/>
    <s v="Resolved"/>
    <x v="0"/>
    <n v="154856.57999999999"/>
    <n v="33.90706704861077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9">
  <r>
    <x v="0"/>
    <n v="145560.32000000001"/>
    <x v="0"/>
  </r>
  <r>
    <x v="1"/>
    <n v="954872.25"/>
    <x v="0"/>
  </r>
  <r>
    <x v="1"/>
    <n v="525602"/>
    <x v="1"/>
  </r>
  <r>
    <x v="1"/>
    <n v="167487.51999999999"/>
    <x v="2"/>
  </r>
  <r>
    <x v="1"/>
    <n v="62848"/>
    <x v="0"/>
  </r>
  <r>
    <x v="2"/>
    <n v="954872.25"/>
    <x v="0"/>
  </r>
  <r>
    <x v="2"/>
    <n v="254658.35"/>
    <x v="1"/>
  </r>
  <r>
    <x v="2"/>
    <n v="142726"/>
    <x v="0"/>
  </r>
  <r>
    <x v="2"/>
    <n v="685442"/>
    <x v="0"/>
  </r>
  <r>
    <x v="3"/>
    <n v="1254658.3500000001"/>
    <x v="3"/>
  </r>
  <r>
    <x v="3"/>
    <n v="945548.23"/>
    <x v="1"/>
  </r>
  <r>
    <x v="3"/>
    <n v="645784.15"/>
    <x v="3"/>
  </r>
  <r>
    <x v="4"/>
    <n v="315119.59999999998"/>
    <x v="0"/>
  </r>
  <r>
    <x v="4"/>
    <n v="658457.35"/>
    <x v="0"/>
  </r>
  <r>
    <x v="4"/>
    <n v="945548.23"/>
    <x v="0"/>
  </r>
  <r>
    <x v="5"/>
    <n v="645784.15"/>
    <x v="1"/>
  </r>
  <r>
    <x v="6"/>
    <n v="205402"/>
    <x v="0"/>
  </r>
  <r>
    <x v="6"/>
    <n v="162848"/>
    <x v="2"/>
  </r>
  <r>
    <x v="6"/>
    <n v="542747.30000000005"/>
    <x v="1"/>
  </r>
  <r>
    <x v="7"/>
    <n v="325458.34999999998"/>
    <x v="0"/>
  </r>
  <r>
    <x v="7"/>
    <n v="800850"/>
    <x v="1"/>
  </r>
  <r>
    <x v="7"/>
    <n v="78440"/>
    <x v="0"/>
  </r>
  <r>
    <x v="7"/>
    <n v="954872.25"/>
    <x v="0"/>
  </r>
  <r>
    <x v="8"/>
    <n v="325458.34999999998"/>
    <x v="0"/>
  </r>
  <r>
    <x v="8"/>
    <n v="154856.57999999999"/>
    <x v="2"/>
  </r>
  <r>
    <x v="8"/>
    <n v="167487"/>
    <x v="0"/>
  </r>
  <r>
    <x v="8"/>
    <n v="945548.23"/>
    <x v="0"/>
  </r>
  <r>
    <x v="9"/>
    <n v="645784.15"/>
    <x v="3"/>
  </r>
  <r>
    <x v="9"/>
    <n v="665080"/>
    <x v="1"/>
  </r>
  <r>
    <x v="9"/>
    <n v="754852.32"/>
    <x v="1"/>
  </r>
  <r>
    <x v="10"/>
    <n v="154856.57999999999"/>
    <x v="1"/>
  </r>
  <r>
    <x v="10"/>
    <n v="945548.23"/>
    <x v="3"/>
  </r>
  <r>
    <x v="10"/>
    <n v="645784.15"/>
    <x v="0"/>
  </r>
  <r>
    <x v="11"/>
    <n v="205402"/>
    <x v="0"/>
  </r>
  <r>
    <x v="11"/>
    <n v="162848"/>
    <x v="1"/>
  </r>
  <r>
    <x v="11"/>
    <n v="542747.30000000005"/>
    <x v="0"/>
  </r>
  <r>
    <x v="11"/>
    <n v="452157.65"/>
    <x v="0"/>
  </r>
  <r>
    <x v="12"/>
    <n v="754852.32"/>
    <x v="0"/>
  </r>
  <r>
    <x v="12"/>
    <n v="754852.32"/>
    <x v="1"/>
  </r>
  <r>
    <x v="12"/>
    <n v="254586.52"/>
    <x v="0"/>
  </r>
  <r>
    <x v="12"/>
    <n v="452157.65"/>
    <x v="1"/>
  </r>
  <r>
    <x v="12"/>
    <n v="215487.25"/>
    <x v="0"/>
  </r>
  <r>
    <x v="13"/>
    <n v="542747.30000000005"/>
    <x v="3"/>
  </r>
  <r>
    <x v="13"/>
    <n v="62848"/>
    <x v="1"/>
  </r>
  <r>
    <x v="14"/>
    <n v="215487.25"/>
    <x v="1"/>
  </r>
  <r>
    <x v="14"/>
    <n v="1254658.3500000001"/>
    <x v="1"/>
  </r>
  <r>
    <x v="14"/>
    <n v="167487"/>
    <x v="1"/>
  </r>
  <r>
    <x v="15"/>
    <n v="254586.52"/>
    <x v="3"/>
  </r>
  <r>
    <x v="15"/>
    <n v="658457.35"/>
    <x v="0"/>
  </r>
  <r>
    <x v="16"/>
    <n v="645784.15"/>
    <x v="4"/>
  </r>
  <r>
    <x v="16"/>
    <n v="645784.15"/>
    <x v="0"/>
  </r>
  <r>
    <x v="17"/>
    <n v="70266"/>
    <x v="1"/>
  </r>
  <r>
    <x v="17"/>
    <n v="205402"/>
    <x v="0"/>
  </r>
  <r>
    <x v="17"/>
    <n v="325458.34999999998"/>
    <x v="0"/>
  </r>
  <r>
    <x v="18"/>
    <n v="762526"/>
    <x v="0"/>
  </r>
  <r>
    <x v="18"/>
    <n v="800850"/>
    <x v="2"/>
  </r>
  <r>
    <x v="18"/>
    <n v="542747.30000000005"/>
    <x v="1"/>
  </r>
  <r>
    <x v="18"/>
    <n v="254586.52"/>
    <x v="0"/>
  </r>
  <r>
    <x v="18"/>
    <n v="154856.57999999999"/>
    <x v="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419C600-AF97-4B2F-A8A0-A345502B77AE}" name="PivotTable34" cacheId="18" applyNumberFormats="0" applyBorderFormats="0" applyFontFormats="0" applyPatternFormats="0" applyAlignmentFormats="0" applyWidthHeightFormats="1" dataCaption="Değerler" updatedVersion="8" minRefreshableVersion="3" useAutoFormatting="1" itemPrintTitles="1" createdVersion="8" indent="0" outline="1" outlineData="1" multipleFieldFilters="0" chartFormat="2" rowHeaderCaption="Weeks">
  <location ref="A3:C8" firstHeaderRow="0" firstDataRow="1" firstDataCol="1"/>
  <pivotFields count="4">
    <pivotField numFmtId="14" showAll="0">
      <items count="2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t="default"/>
      </items>
    </pivotField>
    <pivotField dataField="1" numFmtId="166" showAll="0"/>
    <pivotField dataField="1" showAll="0" sumSubtotal="1">
      <items count="6">
        <item x="2"/>
        <item x="0"/>
        <item x="1"/>
        <item x="3"/>
        <item x="4"/>
        <item t="sum"/>
      </items>
    </pivotField>
    <pivotField axis="axisRow" showAll="0">
      <items count="7">
        <item x="0"/>
        <item x="1"/>
        <item x="2"/>
        <item x="3"/>
        <item x="4"/>
        <item x="5"/>
        <item t="default"/>
      </items>
    </pivotField>
  </pivotFields>
  <rowFields count="1">
    <field x="3"/>
  </rowFields>
  <rowItems count="5">
    <i>
      <x v="1"/>
    </i>
    <i>
      <x v="2"/>
    </i>
    <i>
      <x v="3"/>
    </i>
    <i>
      <x v="4"/>
    </i>
    <i t="grand">
      <x/>
    </i>
  </rowItems>
  <colFields count="1">
    <field x="-2"/>
  </colFields>
  <colItems count="2">
    <i>
      <x/>
    </i>
    <i i="1">
      <x v="1"/>
    </i>
  </colItems>
  <dataFields count="2">
    <dataField name="Total  Recovered Value" fld="1" baseField="3" baseItem="1" numFmtId="167"/>
    <dataField name="Total Unloaded Trailer" fld="2" baseField="3" baseItem="1"/>
  </dataFields>
  <formats count="2">
    <format dxfId="5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  <format dxfId="4">
      <pivotArea dataOnly="0" labelOnly="1" outline="0" fieldPosition="0">
        <references count="1">
          <reference field="4294967294" count="1">
            <x v="0"/>
          </reference>
        </references>
      </pivotArea>
    </format>
  </formats>
  <chartFormats count="7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" format="2">
      <pivotArea type="data" outline="0" fieldPosition="0">
        <references count="2">
          <reference field="4294967294" count="1" selected="0">
            <x v="0"/>
          </reference>
          <reference field="3" count="1" selected="0">
            <x v="4"/>
          </reference>
        </references>
      </pivotArea>
    </chartFormat>
    <chartFormat chart="1" format="3">
      <pivotArea type="data" outline="0" fieldPosition="0">
        <references count="2">
          <reference field="4294967294" count="1" selected="0">
            <x v="0"/>
          </reference>
          <reference field="3" count="1" selected="0">
            <x v="3"/>
          </reference>
        </references>
      </pivotArea>
    </chartFormat>
    <chartFormat chart="1" format="4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6C5D819-5F74-41F0-828B-EB7EEBB3DC6D}" name="PivotTable28" cacheId="16" applyNumberFormats="0" applyBorderFormats="0" applyFontFormats="0" applyPatternFormats="0" applyAlignmentFormats="0" applyWidthHeightFormats="1" dataCaption="Değerler" updatedVersion="8" minRefreshableVersion="3" useAutoFormatting="1" itemPrintTitles="1" createdVersion="8" indent="0" outline="1" outlineData="1" multipleFieldFilters="0" chartFormat="1" rowHeaderCaption="Create Date" colHeaderCaption="Delay Type">
  <location ref="A3:E24" firstHeaderRow="1" firstDataRow="2" firstDataCol="1"/>
  <pivotFields count="10">
    <pivotField showAll="0"/>
    <pivotField axis="axisRow" numFmtId="14" showAll="0">
      <items count="2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t="default"/>
      </items>
    </pivotField>
    <pivotField numFmtId="14" showAll="0"/>
    <pivotField showAll="0"/>
    <pivotField axis="axisCol" showAll="0">
      <items count="4">
        <item x="0"/>
        <item x="2"/>
        <item x="1"/>
        <item t="default"/>
      </items>
    </pivotField>
    <pivotField dataField="1" showAll="0"/>
    <pivotField showAll="0">
      <items count="63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t="default"/>
      </items>
    </pivotField>
    <pivotField showAll="0">
      <items count="63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t="default"/>
      </items>
    </pivotField>
    <pivotField showAll="0">
      <items count="27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t="default"/>
      </items>
    </pivotField>
    <pivotField showAll="0">
      <items count="369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367"/>
        <item t="default"/>
      </items>
    </pivotField>
  </pivotFields>
  <rowFields count="1">
    <field x="1"/>
  </rowFields>
  <rowItems count="2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 t="grand">
      <x/>
    </i>
  </rowItems>
  <colFields count="1">
    <field x="4"/>
  </colFields>
  <colItems count="4">
    <i>
      <x/>
    </i>
    <i>
      <x v="1"/>
    </i>
    <i>
      <x v="2"/>
    </i>
    <i t="grand">
      <x/>
    </i>
  </colItems>
  <dataFields count="1">
    <dataField name="Toplam Recovered Value" fld="5" baseField="0" baseItem="0"/>
  </dataFields>
  <chartFormats count="3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D5B2F11-5E9F-424C-891A-1C4F3D34B780}" name="PivotTable33" cacheId="17" applyNumberFormats="0" applyBorderFormats="0" applyFontFormats="0" applyPatternFormats="0" applyAlignmentFormats="0" applyWidthHeightFormats="1" dataCaption="Değerler" updatedVersion="8" minRefreshableVersion="3" useAutoFormatting="1" itemPrintTitles="1" createdVersion="8" indent="0" outline="1" outlineData="1" multipleFieldFilters="0" chartFormat="3" rowHeaderCaption="Delay Type">
  <location ref="A3:C7" firstHeaderRow="0" firstDataRow="1" firstDataCol="1"/>
  <pivotFields count="7">
    <pivotField showAll="0"/>
    <pivotField numFmtId="14" showAll="0"/>
    <pivotField numFmtId="14" showAll="0"/>
    <pivotField showAll="0"/>
    <pivotField axis="axisRow" showAll="0">
      <items count="4">
        <item x="0"/>
        <item x="2"/>
        <item x="1"/>
        <item t="default"/>
      </items>
    </pivotField>
    <pivotField dataField="1" numFmtId="166" showAll="0"/>
    <pivotField dataField="1" numFmtId="1" showAll="0"/>
  </pivotFields>
  <rowFields count="1">
    <field x="4"/>
  </rowFields>
  <rowItems count="4">
    <i>
      <x/>
    </i>
    <i>
      <x v="1"/>
    </i>
    <i>
      <x v="2"/>
    </i>
    <i t="grand">
      <x/>
    </i>
  </rowItems>
  <colFields count="1">
    <field x="-2"/>
  </colFields>
  <colItems count="2">
    <i>
      <x/>
    </i>
    <i i="1">
      <x v="1"/>
    </i>
  </colItems>
  <dataFields count="2">
    <dataField name="Average of Resolution Date" fld="6" subtotal="average" baseField="4" baseItem="0" numFmtId="1"/>
    <dataField name="Total Recovered Value" fld="5" baseField="4" baseItem="0" numFmtId="167"/>
  </dataFields>
  <formats count="4">
    <format dxfId="3">
      <pivotArea outline="0" collapsedLevelsAreSubtotals="1" fieldPosition="0"/>
    </format>
    <format dxfId="2">
      <pivotArea dataOnly="0" labelOnly="1" outline="0" axis="axisValues" fieldPosition="0"/>
    </format>
    <format dxfId="1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0">
      <pivotArea dataOnly="0" labelOnly="1" outline="0" fieldPosition="0">
        <references count="1">
          <reference field="4294967294" count="1">
            <x v="1"/>
          </reference>
        </references>
      </pivotArea>
    </format>
  </formats>
  <chartFormats count="13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  <chartFormat chart="0" format="3">
      <pivotArea type="data" outline="0" fieldPosition="0">
        <references count="2">
          <reference field="4294967294" count="1" selected="0">
            <x v="0"/>
          </reference>
          <reference field="4" count="1" selected="0">
            <x v="2"/>
          </reference>
        </references>
      </pivotArea>
    </chartFormat>
    <chartFormat chart="0" format="4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2" format="2">
      <pivotArea type="data" outline="0" fieldPosition="0">
        <references count="2">
          <reference field="4294967294" count="1" selected="0">
            <x v="1"/>
          </reference>
          <reference field="4" count="1" selected="0">
            <x v="2"/>
          </reference>
        </references>
      </pivotArea>
    </chartFormat>
    <chartFormat chart="0" format="5">
      <pivotArea type="data" outline="0" fieldPosition="0">
        <references count="2">
          <reference field="4294967294" count="1" selected="0">
            <x v="1"/>
          </reference>
          <reference field="4" count="1" selected="0">
            <x v="0"/>
          </reference>
        </references>
      </pivotArea>
    </chartFormat>
    <chartFormat chart="0" format="6">
      <pivotArea type="data" outline="0" fieldPosition="0">
        <references count="2">
          <reference field="4294967294" count="1" selected="0">
            <x v="1"/>
          </reference>
          <reference field="4" count="1" selected="0">
            <x v="1"/>
          </reference>
        </references>
      </pivotArea>
    </chartFormat>
    <chartFormat chart="0" format="7">
      <pivotArea type="data" outline="0" fieldPosition="0">
        <references count="2">
          <reference field="4294967294" count="1" selected="0">
            <x v="1"/>
          </reference>
          <reference field="4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A97DC1A-FA40-4504-94E5-8C310A5F188E}" name="Tablo1" displayName="Tablo1" ref="A1:G61" totalsRowCount="1">
  <autoFilter ref="A1:G60" xr:uid="{5A97DC1A-FA40-4504-94E5-8C310A5F188E}"/>
  <tableColumns count="7">
    <tableColumn id="1" xr3:uid="{C5902B3B-852F-4001-90E7-1727A79AFA43}" name="Delivery Appointment Number"/>
    <tableColumn id="2" xr3:uid="{E1837899-D034-4148-AA79-DC09791CA0BE}" name="Create Date" dataDxfId="11" totalsRowDxfId="10"/>
    <tableColumn id="3" xr3:uid="{155C6D0C-E758-4BCA-96E4-BF02028EEBAB}" name="Resolved Date" dataDxfId="9" totalsRowDxfId="8"/>
    <tableColumn id="4" xr3:uid="{EA56ECC3-900D-451A-820B-45DF27F20A5D}" name="Status"/>
    <tableColumn id="5" xr3:uid="{246D9B86-789A-4925-A33A-6267CBBBDD55}" name="Delay Type"/>
    <tableColumn id="6" xr3:uid="{FE127973-A4EC-4BEF-8F87-F56F5EE3C8C4}" name="Recovered Value" dataDxfId="7" totalsRowDxfId="6"/>
    <tableColumn id="7" xr3:uid="{4874FF0E-5FA8-4C19-A1D0-D333F8C291E4}" name="Unloaded Trailer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2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6E960F-F7F4-4D32-8A07-1A8ABBA8A1DB}">
  <dimension ref="A1:J61"/>
  <sheetViews>
    <sheetView zoomScale="60" zoomScaleNormal="60" workbookViewId="0">
      <selection activeCell="A61" sqref="A61"/>
    </sheetView>
  </sheetViews>
  <sheetFormatPr defaultRowHeight="14.5" x14ac:dyDescent="0.35"/>
  <cols>
    <col min="1" max="1" width="30" customWidth="1"/>
    <col min="2" max="2" width="13.26953125" customWidth="1"/>
    <col min="3" max="3" width="15.7265625" customWidth="1"/>
    <col min="5" max="5" width="19.81640625" bestFit="1" customWidth="1"/>
    <col min="6" max="6" width="17.54296875" style="7" customWidth="1"/>
    <col min="7" max="7" width="15.1796875" bestFit="1" customWidth="1"/>
    <col min="10" max="10" width="14.81640625" style="3" bestFit="1" customWidth="1"/>
  </cols>
  <sheetData>
    <row r="1" spans="1: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s="7" t="s">
        <v>5</v>
      </c>
      <c r="G1" t="s">
        <v>75</v>
      </c>
    </row>
    <row r="2" spans="1:7" x14ac:dyDescent="0.35">
      <c r="A2" t="s">
        <v>6</v>
      </c>
      <c r="B2" s="1">
        <v>45901</v>
      </c>
      <c r="C2" s="1">
        <v>45938.772789918985</v>
      </c>
      <c r="D2" t="s">
        <v>7</v>
      </c>
      <c r="E2" t="s">
        <v>8</v>
      </c>
      <c r="F2" s="7">
        <v>145560.32000000001</v>
      </c>
      <c r="G2">
        <v>1</v>
      </c>
    </row>
    <row r="3" spans="1:7" x14ac:dyDescent="0.35">
      <c r="A3" t="s">
        <v>9</v>
      </c>
      <c r="B3" s="1">
        <v>45902.95925925926</v>
      </c>
      <c r="C3" s="1">
        <v>45960.924582337961</v>
      </c>
      <c r="D3" t="s">
        <v>7</v>
      </c>
      <c r="E3" t="s">
        <v>10</v>
      </c>
      <c r="F3" s="7">
        <v>954872.25</v>
      </c>
      <c r="G3">
        <v>1</v>
      </c>
    </row>
    <row r="4" spans="1:7" x14ac:dyDescent="0.35">
      <c r="A4" t="s">
        <v>11</v>
      </c>
      <c r="B4" s="1">
        <v>45902.95925925926</v>
      </c>
      <c r="C4" s="1">
        <v>45946.932515196757</v>
      </c>
      <c r="D4" t="s">
        <v>7</v>
      </c>
      <c r="E4" t="s">
        <v>10</v>
      </c>
      <c r="F4" s="7">
        <v>525602</v>
      </c>
      <c r="G4">
        <v>2</v>
      </c>
    </row>
    <row r="5" spans="1:7" x14ac:dyDescent="0.35">
      <c r="A5" t="s">
        <v>12</v>
      </c>
      <c r="B5" s="1">
        <v>45902.95925925926</v>
      </c>
      <c r="C5" s="1">
        <v>45943.807322696761</v>
      </c>
      <c r="D5" t="s">
        <v>7</v>
      </c>
      <c r="E5" t="s">
        <v>13</v>
      </c>
      <c r="F5" s="7">
        <v>167487.51999999999</v>
      </c>
      <c r="G5">
        <v>0</v>
      </c>
    </row>
    <row r="6" spans="1:7" x14ac:dyDescent="0.35">
      <c r="A6" t="s">
        <v>14</v>
      </c>
      <c r="B6" s="1">
        <v>45902.95925925926</v>
      </c>
      <c r="C6" s="1">
        <v>45947.890804756942</v>
      </c>
      <c r="D6" t="s">
        <v>7</v>
      </c>
      <c r="E6" t="s">
        <v>13</v>
      </c>
      <c r="F6" s="7">
        <v>62848</v>
      </c>
      <c r="G6">
        <v>1</v>
      </c>
    </row>
    <row r="7" spans="1:7" x14ac:dyDescent="0.35">
      <c r="A7" t="s">
        <v>15</v>
      </c>
      <c r="B7" s="1">
        <v>45903</v>
      </c>
      <c r="C7" s="1">
        <v>45952.844946863428</v>
      </c>
      <c r="D7" t="s">
        <v>7</v>
      </c>
      <c r="E7" t="s">
        <v>10</v>
      </c>
      <c r="F7" s="7">
        <v>954872.25</v>
      </c>
      <c r="G7">
        <v>1</v>
      </c>
    </row>
    <row r="8" spans="1:7" x14ac:dyDescent="0.35">
      <c r="A8" t="s">
        <v>16</v>
      </c>
      <c r="B8" s="1">
        <v>45903</v>
      </c>
      <c r="C8" s="1">
        <v>45945.957056030093</v>
      </c>
      <c r="D8" t="s">
        <v>7</v>
      </c>
      <c r="E8" t="s">
        <v>10</v>
      </c>
      <c r="F8" s="7">
        <v>254658.35</v>
      </c>
      <c r="G8">
        <v>2</v>
      </c>
    </row>
    <row r="9" spans="1:7" x14ac:dyDescent="0.35">
      <c r="A9" t="s">
        <v>17</v>
      </c>
      <c r="B9" s="1">
        <v>45903</v>
      </c>
      <c r="C9" s="1">
        <v>45937.933894201386</v>
      </c>
      <c r="D9" t="s">
        <v>7</v>
      </c>
      <c r="E9" t="s">
        <v>8</v>
      </c>
      <c r="F9" s="7">
        <v>142726</v>
      </c>
      <c r="G9">
        <v>1</v>
      </c>
    </row>
    <row r="10" spans="1:7" x14ac:dyDescent="0.35">
      <c r="A10" t="s">
        <v>18</v>
      </c>
      <c r="B10" s="1">
        <v>45903</v>
      </c>
      <c r="C10" s="1">
        <v>45957.988031412038</v>
      </c>
      <c r="D10" t="s">
        <v>7</v>
      </c>
      <c r="E10" t="s">
        <v>8</v>
      </c>
      <c r="F10" s="7">
        <v>685442</v>
      </c>
      <c r="G10">
        <v>1</v>
      </c>
    </row>
    <row r="11" spans="1:7" x14ac:dyDescent="0.35">
      <c r="A11" t="s">
        <v>19</v>
      </c>
      <c r="B11" s="1">
        <v>45904</v>
      </c>
      <c r="C11" s="1">
        <v>45943.794194803238</v>
      </c>
      <c r="D11" t="s">
        <v>7</v>
      </c>
      <c r="E11" t="s">
        <v>10</v>
      </c>
      <c r="F11" s="7">
        <v>1254658.3500000001</v>
      </c>
      <c r="G11">
        <v>3</v>
      </c>
    </row>
    <row r="12" spans="1:7" x14ac:dyDescent="0.35">
      <c r="A12" t="s">
        <v>20</v>
      </c>
      <c r="B12" s="1">
        <v>45904</v>
      </c>
      <c r="C12" s="1">
        <v>45945.881341921297</v>
      </c>
      <c r="D12" t="s">
        <v>7</v>
      </c>
      <c r="E12" t="s">
        <v>8</v>
      </c>
      <c r="F12" s="7">
        <v>945548.23</v>
      </c>
      <c r="G12">
        <v>2</v>
      </c>
    </row>
    <row r="13" spans="1:7" x14ac:dyDescent="0.35">
      <c r="A13" t="s">
        <v>21</v>
      </c>
      <c r="B13" s="1">
        <v>45904</v>
      </c>
      <c r="C13" s="1">
        <v>45951.790627002316</v>
      </c>
      <c r="D13" t="s">
        <v>7</v>
      </c>
      <c r="E13" t="s">
        <v>13</v>
      </c>
      <c r="F13" s="7">
        <v>645784.15</v>
      </c>
      <c r="G13">
        <v>3</v>
      </c>
    </row>
    <row r="14" spans="1:7" x14ac:dyDescent="0.35">
      <c r="A14" t="s">
        <v>22</v>
      </c>
      <c r="B14" s="1">
        <v>45905</v>
      </c>
      <c r="C14" s="1">
        <v>45951.828128159723</v>
      </c>
      <c r="D14" t="s">
        <v>7</v>
      </c>
      <c r="E14" t="s">
        <v>10</v>
      </c>
      <c r="F14" s="7">
        <v>315119.59999999998</v>
      </c>
      <c r="G14">
        <v>1</v>
      </c>
    </row>
    <row r="15" spans="1:7" x14ac:dyDescent="0.35">
      <c r="A15" t="s">
        <v>23</v>
      </c>
      <c r="B15" s="1">
        <v>45905</v>
      </c>
      <c r="C15" s="1">
        <v>45960.932266481483</v>
      </c>
      <c r="D15" t="s">
        <v>7</v>
      </c>
      <c r="E15" t="s">
        <v>8</v>
      </c>
      <c r="F15" s="7">
        <v>658457.35</v>
      </c>
      <c r="G15">
        <v>1</v>
      </c>
    </row>
    <row r="16" spans="1:7" x14ac:dyDescent="0.35">
      <c r="A16" t="s">
        <v>24</v>
      </c>
      <c r="B16" s="1">
        <v>45905</v>
      </c>
      <c r="C16" s="1">
        <v>45959.720920405096</v>
      </c>
      <c r="D16" t="s">
        <v>7</v>
      </c>
      <c r="E16" t="s">
        <v>8</v>
      </c>
      <c r="F16" s="7">
        <v>945548.23</v>
      </c>
      <c r="G16">
        <v>1</v>
      </c>
    </row>
    <row r="17" spans="1:10" x14ac:dyDescent="0.35">
      <c r="A17" t="s">
        <v>25</v>
      </c>
      <c r="B17" s="1">
        <v>45908.906990740739</v>
      </c>
      <c r="C17" s="1">
        <v>45951.939748865741</v>
      </c>
      <c r="D17" t="s">
        <v>7</v>
      </c>
      <c r="E17" t="s">
        <v>8</v>
      </c>
      <c r="F17" s="7">
        <v>645784.15</v>
      </c>
      <c r="G17">
        <v>2</v>
      </c>
    </row>
    <row r="18" spans="1:10" x14ac:dyDescent="0.35">
      <c r="A18" t="s">
        <v>26</v>
      </c>
      <c r="B18" s="1">
        <v>45909</v>
      </c>
      <c r="C18" s="1">
        <v>45958.841225254633</v>
      </c>
      <c r="D18" t="s">
        <v>7</v>
      </c>
      <c r="E18" t="s">
        <v>8</v>
      </c>
      <c r="F18" s="7">
        <v>205402</v>
      </c>
      <c r="G18">
        <v>1</v>
      </c>
    </row>
    <row r="19" spans="1:10" x14ac:dyDescent="0.35">
      <c r="A19" t="s">
        <v>27</v>
      </c>
      <c r="B19" s="1">
        <v>45909</v>
      </c>
      <c r="C19" s="1">
        <v>45953.74931165509</v>
      </c>
      <c r="D19" t="s">
        <v>7</v>
      </c>
      <c r="E19" t="s">
        <v>10</v>
      </c>
      <c r="F19" s="7">
        <v>162848</v>
      </c>
      <c r="G19">
        <v>0</v>
      </c>
    </row>
    <row r="20" spans="1:10" x14ac:dyDescent="0.35">
      <c r="A20" t="s">
        <v>28</v>
      </c>
      <c r="B20" s="1">
        <v>45909</v>
      </c>
      <c r="C20" s="1">
        <v>45938.700051122687</v>
      </c>
      <c r="D20" t="s">
        <v>7</v>
      </c>
      <c r="E20" t="s">
        <v>13</v>
      </c>
      <c r="F20" s="7">
        <v>542747.30000000005</v>
      </c>
      <c r="G20">
        <v>2</v>
      </c>
    </row>
    <row r="21" spans="1:10" x14ac:dyDescent="0.35">
      <c r="A21" t="s">
        <v>29</v>
      </c>
      <c r="B21" s="1">
        <v>45910</v>
      </c>
      <c r="C21" s="1">
        <v>45954.745541388889</v>
      </c>
      <c r="D21" t="s">
        <v>7</v>
      </c>
      <c r="E21" t="s">
        <v>10</v>
      </c>
      <c r="F21" s="7">
        <v>325458.34999999998</v>
      </c>
      <c r="G21">
        <v>1</v>
      </c>
      <c r="J21"/>
    </row>
    <row r="22" spans="1:10" x14ac:dyDescent="0.35">
      <c r="A22" t="s">
        <v>30</v>
      </c>
      <c r="B22" s="1">
        <v>45910</v>
      </c>
      <c r="C22" s="1">
        <v>45945.930241249996</v>
      </c>
      <c r="D22" t="s">
        <v>7</v>
      </c>
      <c r="E22" t="s">
        <v>8</v>
      </c>
      <c r="F22" s="7">
        <v>800850</v>
      </c>
      <c r="G22">
        <v>2</v>
      </c>
      <c r="J22"/>
    </row>
    <row r="23" spans="1:10" x14ac:dyDescent="0.35">
      <c r="A23" t="s">
        <v>31</v>
      </c>
      <c r="B23" s="1">
        <v>45910</v>
      </c>
      <c r="C23" s="1">
        <v>45936.980733344906</v>
      </c>
      <c r="D23" t="s">
        <v>7</v>
      </c>
      <c r="E23" t="s">
        <v>8</v>
      </c>
      <c r="F23" s="7">
        <v>78440</v>
      </c>
      <c r="G23">
        <v>1</v>
      </c>
      <c r="J23"/>
    </row>
    <row r="24" spans="1:10" x14ac:dyDescent="0.35">
      <c r="A24" t="s">
        <v>32</v>
      </c>
      <c r="B24" s="1">
        <v>45910</v>
      </c>
      <c r="C24" s="1">
        <v>45959.851920960646</v>
      </c>
      <c r="D24" t="s">
        <v>7</v>
      </c>
      <c r="E24" t="s">
        <v>13</v>
      </c>
      <c r="F24" s="7">
        <v>954872.25</v>
      </c>
      <c r="G24">
        <v>1</v>
      </c>
      <c r="J24"/>
    </row>
    <row r="25" spans="1:10" x14ac:dyDescent="0.35">
      <c r="A25" t="s">
        <v>33</v>
      </c>
      <c r="B25" s="1">
        <v>45911</v>
      </c>
      <c r="C25" s="1">
        <v>45939.736218599537</v>
      </c>
      <c r="D25" t="s">
        <v>7</v>
      </c>
      <c r="E25" t="s">
        <v>8</v>
      </c>
      <c r="F25" s="7">
        <v>325458.34999999998</v>
      </c>
      <c r="G25">
        <v>1</v>
      </c>
      <c r="J25"/>
    </row>
    <row r="26" spans="1:10" x14ac:dyDescent="0.35">
      <c r="A26" t="s">
        <v>34</v>
      </c>
      <c r="B26" s="1">
        <v>45911</v>
      </c>
      <c r="C26" s="1">
        <v>45957.996327210647</v>
      </c>
      <c r="D26" t="s">
        <v>7</v>
      </c>
      <c r="E26" t="s">
        <v>10</v>
      </c>
      <c r="F26" s="7">
        <v>154856.57999999999</v>
      </c>
      <c r="G26">
        <v>0</v>
      </c>
      <c r="J26"/>
    </row>
    <row r="27" spans="1:10" x14ac:dyDescent="0.35">
      <c r="A27" t="s">
        <v>35</v>
      </c>
      <c r="B27" s="1">
        <v>45911</v>
      </c>
      <c r="C27" s="1">
        <v>45953.715959710651</v>
      </c>
      <c r="D27" t="s">
        <v>7</v>
      </c>
      <c r="E27" t="s">
        <v>13</v>
      </c>
      <c r="F27" s="7">
        <v>167487</v>
      </c>
      <c r="G27">
        <v>1</v>
      </c>
      <c r="J27"/>
    </row>
    <row r="28" spans="1:10" x14ac:dyDescent="0.35">
      <c r="A28" t="s">
        <v>36</v>
      </c>
      <c r="B28" s="1">
        <v>45911</v>
      </c>
      <c r="C28" s="1">
        <v>45947.865655543981</v>
      </c>
      <c r="D28" t="s">
        <v>7</v>
      </c>
      <c r="E28" t="s">
        <v>8</v>
      </c>
      <c r="F28" s="7">
        <v>945548.23</v>
      </c>
      <c r="G28">
        <v>1</v>
      </c>
      <c r="J28"/>
    </row>
    <row r="29" spans="1:10" x14ac:dyDescent="0.35">
      <c r="A29" t="s">
        <v>37</v>
      </c>
      <c r="B29" s="1">
        <v>45912</v>
      </c>
      <c r="C29" s="1">
        <v>45947.905042048609</v>
      </c>
      <c r="D29" t="s">
        <v>7</v>
      </c>
      <c r="E29" t="s">
        <v>13</v>
      </c>
      <c r="F29" s="7">
        <v>645784.15</v>
      </c>
      <c r="G29">
        <v>3</v>
      </c>
      <c r="J29"/>
    </row>
    <row r="30" spans="1:10" x14ac:dyDescent="0.35">
      <c r="A30" t="s">
        <v>38</v>
      </c>
      <c r="B30" s="1">
        <v>45912</v>
      </c>
      <c r="C30" s="1">
        <v>45944.988465486109</v>
      </c>
      <c r="D30" t="s">
        <v>7</v>
      </c>
      <c r="E30" t="s">
        <v>8</v>
      </c>
      <c r="F30" s="7">
        <v>665080</v>
      </c>
      <c r="G30">
        <v>2</v>
      </c>
      <c r="J30"/>
    </row>
    <row r="31" spans="1:10" x14ac:dyDescent="0.35">
      <c r="A31" t="s">
        <v>39</v>
      </c>
      <c r="B31" s="1">
        <v>45912</v>
      </c>
      <c r="C31" s="1">
        <v>45950.952650150466</v>
      </c>
      <c r="D31" t="s">
        <v>7</v>
      </c>
      <c r="E31" t="s">
        <v>13</v>
      </c>
      <c r="F31" s="7">
        <v>754852.32</v>
      </c>
      <c r="G31">
        <v>2</v>
      </c>
      <c r="J31"/>
    </row>
    <row r="32" spans="1:10" x14ac:dyDescent="0.35">
      <c r="A32" t="s">
        <v>40</v>
      </c>
      <c r="B32" s="1">
        <v>45916</v>
      </c>
      <c r="C32" s="1">
        <v>45958.990568136571</v>
      </c>
      <c r="D32" t="s">
        <v>7</v>
      </c>
      <c r="E32" t="s">
        <v>10</v>
      </c>
      <c r="F32" s="7">
        <v>154856.57999999999</v>
      </c>
      <c r="G32">
        <v>2</v>
      </c>
      <c r="J32"/>
    </row>
    <row r="33" spans="1:10" x14ac:dyDescent="0.35">
      <c r="A33" t="s">
        <v>41</v>
      </c>
      <c r="B33" s="1">
        <v>45916</v>
      </c>
      <c r="C33" s="1">
        <v>45959.916741666668</v>
      </c>
      <c r="D33" t="s">
        <v>7</v>
      </c>
      <c r="E33" t="s">
        <v>8</v>
      </c>
      <c r="F33" s="7">
        <v>945548.23</v>
      </c>
      <c r="G33">
        <v>3</v>
      </c>
      <c r="J33"/>
    </row>
    <row r="34" spans="1:10" x14ac:dyDescent="0.35">
      <c r="A34" t="s">
        <v>42</v>
      </c>
      <c r="B34" s="1">
        <v>45916</v>
      </c>
      <c r="C34" s="1">
        <v>45940.902040358793</v>
      </c>
      <c r="D34" t="s">
        <v>7</v>
      </c>
      <c r="E34" t="s">
        <v>8</v>
      </c>
      <c r="F34" s="7">
        <v>645784.15</v>
      </c>
      <c r="G34">
        <v>1</v>
      </c>
      <c r="J34"/>
    </row>
    <row r="35" spans="1:10" x14ac:dyDescent="0.35">
      <c r="A35" t="s">
        <v>43</v>
      </c>
      <c r="B35" s="1">
        <v>45917</v>
      </c>
      <c r="C35" s="1">
        <v>45946.921713854164</v>
      </c>
      <c r="D35" t="s">
        <v>7</v>
      </c>
      <c r="E35" t="s">
        <v>13</v>
      </c>
      <c r="F35" s="7">
        <v>205402</v>
      </c>
      <c r="G35">
        <v>1</v>
      </c>
      <c r="J35"/>
    </row>
    <row r="36" spans="1:10" x14ac:dyDescent="0.35">
      <c r="A36" t="s">
        <v>44</v>
      </c>
      <c r="B36" s="1">
        <v>45917</v>
      </c>
      <c r="C36" s="1">
        <v>45957.803147060185</v>
      </c>
      <c r="D36" t="s">
        <v>7</v>
      </c>
      <c r="E36" t="s">
        <v>8</v>
      </c>
      <c r="F36" s="7">
        <v>162848</v>
      </c>
      <c r="G36">
        <v>2</v>
      </c>
      <c r="J36"/>
    </row>
    <row r="37" spans="1:10" x14ac:dyDescent="0.35">
      <c r="A37" t="s">
        <v>45</v>
      </c>
      <c r="B37" s="1">
        <v>45917</v>
      </c>
      <c r="C37" s="1">
        <v>45952.925683946756</v>
      </c>
      <c r="D37" t="s">
        <v>7</v>
      </c>
      <c r="E37" t="s">
        <v>10</v>
      </c>
      <c r="F37" s="7">
        <v>542747.30000000005</v>
      </c>
      <c r="G37">
        <v>1</v>
      </c>
      <c r="J37"/>
    </row>
    <row r="38" spans="1:10" x14ac:dyDescent="0.35">
      <c r="A38" t="s">
        <v>46</v>
      </c>
      <c r="B38" s="1">
        <v>45917</v>
      </c>
      <c r="C38" s="1">
        <v>45936.993217592593</v>
      </c>
      <c r="D38" t="s">
        <v>7</v>
      </c>
      <c r="E38" t="s">
        <v>8</v>
      </c>
      <c r="F38" s="7">
        <v>452157.65</v>
      </c>
      <c r="G38">
        <v>1</v>
      </c>
      <c r="J38"/>
    </row>
    <row r="39" spans="1:10" x14ac:dyDescent="0.35">
      <c r="A39" t="s">
        <v>47</v>
      </c>
      <c r="B39" s="1">
        <v>45918</v>
      </c>
      <c r="C39" s="1">
        <v>45931.910820636571</v>
      </c>
      <c r="D39" t="s">
        <v>7</v>
      </c>
      <c r="E39" t="s">
        <v>10</v>
      </c>
      <c r="F39" s="7">
        <v>754852.32</v>
      </c>
      <c r="G39">
        <v>1</v>
      </c>
      <c r="J39"/>
    </row>
    <row r="40" spans="1:10" x14ac:dyDescent="0.35">
      <c r="A40" t="s">
        <v>48</v>
      </c>
      <c r="B40" s="1">
        <v>45918</v>
      </c>
      <c r="C40" s="1">
        <v>45954.83580306713</v>
      </c>
      <c r="D40" t="s">
        <v>7</v>
      </c>
      <c r="E40" t="s">
        <v>8</v>
      </c>
      <c r="F40" s="7">
        <v>754852.32</v>
      </c>
      <c r="G40">
        <v>2</v>
      </c>
      <c r="J40"/>
    </row>
    <row r="41" spans="1:10" x14ac:dyDescent="0.35">
      <c r="A41" t="s">
        <v>49</v>
      </c>
      <c r="B41" s="1">
        <v>45918</v>
      </c>
      <c r="C41" s="1">
        <v>45951.886460266207</v>
      </c>
      <c r="D41" t="s">
        <v>7</v>
      </c>
      <c r="E41" t="s">
        <v>10</v>
      </c>
      <c r="F41" s="7">
        <v>254586.52</v>
      </c>
      <c r="G41">
        <v>1</v>
      </c>
      <c r="J41"/>
    </row>
    <row r="42" spans="1:10" x14ac:dyDescent="0.35">
      <c r="A42" t="s">
        <v>50</v>
      </c>
      <c r="B42" s="1">
        <v>45918</v>
      </c>
      <c r="C42" s="1">
        <v>45943.801790219906</v>
      </c>
      <c r="D42" t="s">
        <v>7</v>
      </c>
      <c r="E42" t="s">
        <v>10</v>
      </c>
      <c r="F42" s="7">
        <v>452157.65</v>
      </c>
      <c r="G42">
        <v>2</v>
      </c>
      <c r="J42"/>
    </row>
    <row r="43" spans="1:10" x14ac:dyDescent="0.35">
      <c r="A43" t="s">
        <v>51</v>
      </c>
      <c r="B43" s="1">
        <v>45918</v>
      </c>
      <c r="C43" s="1">
        <v>45947.902939270833</v>
      </c>
      <c r="D43" t="s">
        <v>7</v>
      </c>
      <c r="E43" t="s">
        <v>10</v>
      </c>
      <c r="F43" s="7">
        <v>215487.25</v>
      </c>
      <c r="G43">
        <v>1</v>
      </c>
      <c r="J43"/>
    </row>
    <row r="44" spans="1:10" x14ac:dyDescent="0.35">
      <c r="A44" t="s">
        <v>52</v>
      </c>
      <c r="B44" s="1">
        <v>45919</v>
      </c>
      <c r="C44" s="1">
        <v>45945.949032395831</v>
      </c>
      <c r="D44" t="s">
        <v>7</v>
      </c>
      <c r="E44" t="s">
        <v>8</v>
      </c>
      <c r="F44" s="7">
        <v>542747.30000000005</v>
      </c>
      <c r="G44">
        <v>3</v>
      </c>
      <c r="J44"/>
    </row>
    <row r="45" spans="1:10" x14ac:dyDescent="0.35">
      <c r="A45" t="s">
        <v>53</v>
      </c>
      <c r="B45" s="1">
        <v>45919</v>
      </c>
      <c r="C45" s="1">
        <v>45933.796624525465</v>
      </c>
      <c r="D45" t="s">
        <v>7</v>
      </c>
      <c r="E45" t="s">
        <v>8</v>
      </c>
      <c r="F45" s="7">
        <v>62848</v>
      </c>
      <c r="G45">
        <v>2</v>
      </c>
      <c r="J45"/>
    </row>
    <row r="46" spans="1:10" x14ac:dyDescent="0.35">
      <c r="A46" t="s">
        <v>54</v>
      </c>
      <c r="B46" s="1">
        <v>45923.953400613427</v>
      </c>
      <c r="C46" s="1">
        <v>45931.843020879627</v>
      </c>
      <c r="D46" t="s">
        <v>7</v>
      </c>
      <c r="E46" t="s">
        <v>8</v>
      </c>
      <c r="F46" s="7">
        <v>215487.25</v>
      </c>
      <c r="G46">
        <v>2</v>
      </c>
      <c r="J46"/>
    </row>
    <row r="47" spans="1:10" x14ac:dyDescent="0.35">
      <c r="A47" t="s">
        <v>55</v>
      </c>
      <c r="B47" s="1">
        <v>45923.953400613427</v>
      </c>
      <c r="C47" s="1">
        <v>45954.96997071759</v>
      </c>
      <c r="D47" t="s">
        <v>7</v>
      </c>
      <c r="E47" t="s">
        <v>8</v>
      </c>
      <c r="F47" s="7">
        <v>1254658.3500000001</v>
      </c>
      <c r="G47">
        <v>2</v>
      </c>
      <c r="J47"/>
    </row>
    <row r="48" spans="1:10" x14ac:dyDescent="0.35">
      <c r="A48" t="s">
        <v>56</v>
      </c>
      <c r="B48" s="1">
        <v>45923.953400613427</v>
      </c>
      <c r="C48" s="1">
        <v>45960.729810381941</v>
      </c>
      <c r="D48" t="s">
        <v>7</v>
      </c>
      <c r="E48" t="s">
        <v>8</v>
      </c>
      <c r="F48" s="7">
        <v>167487</v>
      </c>
      <c r="G48">
        <v>2</v>
      </c>
      <c r="J48"/>
    </row>
    <row r="49" spans="1:10" x14ac:dyDescent="0.35">
      <c r="A49" t="s">
        <v>57</v>
      </c>
      <c r="B49" s="1">
        <v>45924.91984667824</v>
      </c>
      <c r="C49" s="1">
        <v>45958.999727627313</v>
      </c>
      <c r="D49" t="s">
        <v>7</v>
      </c>
      <c r="E49" t="s">
        <v>10</v>
      </c>
      <c r="F49" s="7">
        <v>254586.52</v>
      </c>
      <c r="G49">
        <v>3</v>
      </c>
      <c r="J49"/>
    </row>
    <row r="50" spans="1:10" x14ac:dyDescent="0.35">
      <c r="A50" t="s">
        <v>58</v>
      </c>
      <c r="B50" s="1">
        <v>45924.91984667824</v>
      </c>
      <c r="C50" s="1">
        <v>45947.866463831022</v>
      </c>
      <c r="D50" t="s">
        <v>7</v>
      </c>
      <c r="E50" t="s">
        <v>10</v>
      </c>
      <c r="F50" s="7">
        <v>658457.35</v>
      </c>
      <c r="G50">
        <v>1</v>
      </c>
      <c r="J50"/>
    </row>
    <row r="51" spans="1:10" x14ac:dyDescent="0.35">
      <c r="A51" t="s">
        <v>59</v>
      </c>
      <c r="B51" s="1">
        <v>45925.906431446761</v>
      </c>
      <c r="C51" s="1">
        <v>45951.798794942129</v>
      </c>
      <c r="D51" t="s">
        <v>7</v>
      </c>
      <c r="E51" t="s">
        <v>10</v>
      </c>
      <c r="F51" s="7">
        <v>645784.15</v>
      </c>
      <c r="G51">
        <v>4</v>
      </c>
      <c r="J51"/>
    </row>
    <row r="52" spans="1:10" x14ac:dyDescent="0.35">
      <c r="A52" t="s">
        <v>60</v>
      </c>
      <c r="B52" s="1">
        <v>45925.906431446761</v>
      </c>
      <c r="C52" s="1">
        <v>45957.837439444447</v>
      </c>
      <c r="D52" t="s">
        <v>7</v>
      </c>
      <c r="E52" t="s">
        <v>8</v>
      </c>
      <c r="F52" s="7">
        <v>645784.15</v>
      </c>
      <c r="G52">
        <v>1</v>
      </c>
      <c r="J52"/>
    </row>
    <row r="53" spans="1:10" x14ac:dyDescent="0.35">
      <c r="A53" t="s">
        <v>61</v>
      </c>
      <c r="B53" s="1">
        <v>45926.967199386578</v>
      </c>
      <c r="C53" s="1">
        <v>45945.936945972222</v>
      </c>
      <c r="D53" t="s">
        <v>7</v>
      </c>
      <c r="E53" t="s">
        <v>8</v>
      </c>
      <c r="F53" s="7">
        <v>70266</v>
      </c>
      <c r="G53">
        <v>2</v>
      </c>
      <c r="J53"/>
    </row>
    <row r="54" spans="1:10" x14ac:dyDescent="0.35">
      <c r="A54" t="s">
        <v>62</v>
      </c>
      <c r="B54" s="1">
        <v>45926.967199386578</v>
      </c>
      <c r="C54" s="1">
        <v>45951.821308148152</v>
      </c>
      <c r="D54" t="s">
        <v>7</v>
      </c>
      <c r="E54" t="s">
        <v>13</v>
      </c>
      <c r="F54" s="7">
        <v>205402</v>
      </c>
      <c r="G54">
        <v>1</v>
      </c>
      <c r="J54"/>
    </row>
    <row r="55" spans="1:10" x14ac:dyDescent="0.35">
      <c r="A55" t="s">
        <v>63</v>
      </c>
      <c r="B55" s="1">
        <v>45926.967199386578</v>
      </c>
      <c r="C55" s="1">
        <v>45947.885607372686</v>
      </c>
      <c r="D55" t="s">
        <v>7</v>
      </c>
      <c r="E55" t="s">
        <v>13</v>
      </c>
      <c r="F55" s="7">
        <v>325458.34999999998</v>
      </c>
      <c r="G55">
        <v>1</v>
      </c>
      <c r="J55"/>
    </row>
    <row r="56" spans="1:10" x14ac:dyDescent="0.35">
      <c r="A56" t="s">
        <v>64</v>
      </c>
      <c r="B56" s="1">
        <v>45926.982363645831</v>
      </c>
      <c r="C56" s="1">
        <v>45943.937593993054</v>
      </c>
      <c r="D56" t="s">
        <v>7</v>
      </c>
      <c r="E56" t="s">
        <v>8</v>
      </c>
      <c r="F56" s="7">
        <v>762526</v>
      </c>
      <c r="G56">
        <v>1</v>
      </c>
      <c r="J56"/>
    </row>
    <row r="57" spans="1:10" x14ac:dyDescent="0.35">
      <c r="A57" t="s">
        <v>65</v>
      </c>
      <c r="B57" s="1">
        <v>45926.982363645831</v>
      </c>
      <c r="C57" s="1">
        <v>45953.707075034719</v>
      </c>
      <c r="D57" t="s">
        <v>7</v>
      </c>
      <c r="E57" t="s">
        <v>10</v>
      </c>
      <c r="F57" s="7">
        <v>800850</v>
      </c>
      <c r="G57">
        <v>0</v>
      </c>
      <c r="J57"/>
    </row>
    <row r="58" spans="1:10" x14ac:dyDescent="0.35">
      <c r="A58" t="s">
        <v>66</v>
      </c>
      <c r="B58" s="1">
        <v>45926.982363645831</v>
      </c>
      <c r="C58" s="1">
        <v>45957.892729791667</v>
      </c>
      <c r="D58" t="s">
        <v>7</v>
      </c>
      <c r="E58" t="s">
        <v>10</v>
      </c>
      <c r="F58" s="7">
        <v>542747.30000000005</v>
      </c>
      <c r="G58">
        <v>2</v>
      </c>
      <c r="J58"/>
    </row>
    <row r="59" spans="1:10" x14ac:dyDescent="0.35">
      <c r="A59" t="s">
        <v>67</v>
      </c>
      <c r="B59" s="1">
        <v>45926.982363645831</v>
      </c>
      <c r="C59" s="1">
        <v>45946.931280879631</v>
      </c>
      <c r="D59" t="s">
        <v>7</v>
      </c>
      <c r="E59" t="s">
        <v>10</v>
      </c>
      <c r="F59" s="7">
        <v>254586.52</v>
      </c>
      <c r="G59">
        <v>1</v>
      </c>
      <c r="J59"/>
    </row>
    <row r="60" spans="1:10" x14ac:dyDescent="0.35">
      <c r="A60" t="s">
        <v>68</v>
      </c>
      <c r="B60" s="1">
        <v>45926.982363645831</v>
      </c>
      <c r="C60" s="1">
        <v>45960.889430694442</v>
      </c>
      <c r="D60" t="s">
        <v>7</v>
      </c>
      <c r="E60" t="s">
        <v>8</v>
      </c>
      <c r="F60" s="7">
        <v>154856.57999999999</v>
      </c>
      <c r="G60">
        <v>0</v>
      </c>
      <c r="J60"/>
    </row>
    <row r="61" spans="1:10" x14ac:dyDescent="0.35">
      <c r="B61" s="1"/>
      <c r="C61" s="1"/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1E281A-AF27-48EF-9A6B-F2D14BBE0B59}">
  <dimension ref="A1:C20"/>
  <sheetViews>
    <sheetView zoomScale="70" zoomScaleNormal="70" workbookViewId="0">
      <selection activeCell="AE50" sqref="AE50"/>
    </sheetView>
  </sheetViews>
  <sheetFormatPr defaultRowHeight="14.5" x14ac:dyDescent="0.35"/>
  <cols>
    <col min="1" max="1" width="36.81640625" bestFit="1" customWidth="1"/>
    <col min="2" max="2" width="14.7265625" bestFit="1" customWidth="1"/>
    <col min="3" max="3" width="15.453125" style="3" bestFit="1" customWidth="1"/>
  </cols>
  <sheetData>
    <row r="1" spans="1:3" x14ac:dyDescent="0.35">
      <c r="A1" t="s">
        <v>69</v>
      </c>
    </row>
    <row r="2" spans="1:3" x14ac:dyDescent="0.35">
      <c r="A2" t="s">
        <v>1</v>
      </c>
      <c r="B2" t="s">
        <v>70</v>
      </c>
      <c r="C2" s="3" t="s">
        <v>5</v>
      </c>
    </row>
    <row r="3" spans="1:3" x14ac:dyDescent="0.35">
      <c r="A3" s="1">
        <v>45901</v>
      </c>
      <c r="B3">
        <v>1</v>
      </c>
      <c r="C3" s="3" cm="1">
        <f t="array" ref="C3:C20">SUMIF('Delivery appts daily'!B2:B60,'daily unloaded trailer &amp; receov'!A3:A20,'Delivery appts daily'!F2:F60)</f>
        <v>145560.32000000001</v>
      </c>
    </row>
    <row r="4" spans="1:3" x14ac:dyDescent="0.35">
      <c r="A4" s="1">
        <v>45902.95925925926</v>
      </c>
      <c r="B4">
        <v>4</v>
      </c>
      <c r="C4" s="3">
        <v>1710809.77</v>
      </c>
    </row>
    <row r="5" spans="1:3" x14ac:dyDescent="0.35">
      <c r="A5" s="1">
        <v>45903</v>
      </c>
      <c r="B5">
        <v>5</v>
      </c>
      <c r="C5" s="3">
        <v>2037698.6</v>
      </c>
    </row>
    <row r="6" spans="1:3" x14ac:dyDescent="0.35">
      <c r="A6" s="1">
        <v>45904</v>
      </c>
      <c r="B6">
        <v>8</v>
      </c>
      <c r="C6" s="3">
        <v>2845990.73</v>
      </c>
    </row>
    <row r="7" spans="1:3" x14ac:dyDescent="0.35">
      <c r="A7" s="1">
        <v>45905</v>
      </c>
      <c r="B7">
        <v>3</v>
      </c>
      <c r="C7" s="3">
        <v>1919125.18</v>
      </c>
    </row>
    <row r="8" spans="1:3" x14ac:dyDescent="0.35">
      <c r="A8" s="1">
        <v>45908.906990740739</v>
      </c>
      <c r="B8">
        <v>2</v>
      </c>
      <c r="C8" s="3">
        <v>645784.15</v>
      </c>
    </row>
    <row r="9" spans="1:3" x14ac:dyDescent="0.35">
      <c r="A9" s="1">
        <v>45909</v>
      </c>
      <c r="B9">
        <v>3</v>
      </c>
      <c r="C9" s="3">
        <v>910997.3</v>
      </c>
    </row>
    <row r="10" spans="1:3" x14ac:dyDescent="0.35">
      <c r="A10" s="1">
        <v>45910</v>
      </c>
      <c r="B10">
        <v>5</v>
      </c>
      <c r="C10" s="3">
        <v>2159620.6</v>
      </c>
    </row>
    <row r="11" spans="1:3" x14ac:dyDescent="0.35">
      <c r="A11" s="1">
        <v>45911</v>
      </c>
      <c r="B11">
        <v>3</v>
      </c>
      <c r="C11" s="3">
        <v>1593350.16</v>
      </c>
    </row>
    <row r="12" spans="1:3" x14ac:dyDescent="0.35">
      <c r="A12" s="1">
        <v>45912</v>
      </c>
      <c r="B12">
        <v>7</v>
      </c>
      <c r="C12" s="3">
        <v>2065716.4699999997</v>
      </c>
    </row>
    <row r="13" spans="1:3" x14ac:dyDescent="0.35">
      <c r="A13" s="1">
        <v>45916</v>
      </c>
      <c r="B13">
        <v>6</v>
      </c>
      <c r="C13" s="3">
        <v>1746188.96</v>
      </c>
    </row>
    <row r="14" spans="1:3" x14ac:dyDescent="0.35">
      <c r="A14" s="1">
        <v>45917</v>
      </c>
      <c r="B14">
        <v>5</v>
      </c>
      <c r="C14" s="3">
        <v>1363154.9500000002</v>
      </c>
    </row>
    <row r="15" spans="1:3" x14ac:dyDescent="0.35">
      <c r="A15" s="1">
        <v>45918</v>
      </c>
      <c r="B15">
        <v>7</v>
      </c>
      <c r="C15" s="3">
        <v>2431936.06</v>
      </c>
    </row>
    <row r="16" spans="1:3" x14ac:dyDescent="0.35">
      <c r="A16" s="1">
        <v>45919</v>
      </c>
      <c r="B16">
        <v>5</v>
      </c>
      <c r="C16" s="3">
        <v>605595.30000000005</v>
      </c>
    </row>
    <row r="17" spans="1:3" x14ac:dyDescent="0.35">
      <c r="A17" s="1">
        <v>45923.953400613427</v>
      </c>
      <c r="B17">
        <v>6</v>
      </c>
      <c r="C17" s="3">
        <v>1637632.6</v>
      </c>
    </row>
    <row r="18" spans="1:3" x14ac:dyDescent="0.35">
      <c r="A18" s="1">
        <v>45924.91984667824</v>
      </c>
      <c r="B18">
        <v>4</v>
      </c>
      <c r="C18" s="3">
        <v>913043.87</v>
      </c>
    </row>
    <row r="19" spans="1:3" x14ac:dyDescent="0.35">
      <c r="A19" s="1">
        <v>45925.906431446761</v>
      </c>
      <c r="B19">
        <v>5</v>
      </c>
      <c r="C19" s="3">
        <v>1291568.3</v>
      </c>
    </row>
    <row r="20" spans="1:3" x14ac:dyDescent="0.35">
      <c r="A20" s="1">
        <v>45926.982363645831</v>
      </c>
      <c r="B20">
        <v>8</v>
      </c>
      <c r="C20" s="3">
        <v>2515566.4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231EFB-D1B8-4E17-8813-025379C4F132}">
  <dimension ref="A3:C8"/>
  <sheetViews>
    <sheetView workbookViewId="0">
      <selection activeCell="C6" sqref="C6"/>
    </sheetView>
  </sheetViews>
  <sheetFormatPr defaultRowHeight="14.5" x14ac:dyDescent="0.35"/>
  <cols>
    <col min="1" max="1" width="21.1796875" bestFit="1" customWidth="1"/>
    <col min="2" max="2" width="21.7265625" style="8" bestFit="1" customWidth="1"/>
    <col min="3" max="3" width="21" bestFit="1" customWidth="1"/>
    <col min="4" max="4" width="11" bestFit="1" customWidth="1"/>
    <col min="5" max="6" width="10" bestFit="1" customWidth="1"/>
    <col min="7" max="7" width="13.54296875" bestFit="1" customWidth="1"/>
  </cols>
  <sheetData>
    <row r="3" spans="1:3" x14ac:dyDescent="0.35">
      <c r="A3" s="4" t="s">
        <v>80</v>
      </c>
      <c r="B3" s="8" t="s">
        <v>81</v>
      </c>
      <c r="C3" t="s">
        <v>82</v>
      </c>
    </row>
    <row r="4" spans="1:3" x14ac:dyDescent="0.35">
      <c r="A4" s="6" t="s">
        <v>76</v>
      </c>
      <c r="B4" s="8">
        <v>8659184.5999999996</v>
      </c>
      <c r="C4">
        <v>21</v>
      </c>
    </row>
    <row r="5" spans="1:3" x14ac:dyDescent="0.35">
      <c r="A5" s="6" t="s">
        <v>77</v>
      </c>
      <c r="B5" s="8">
        <v>7375468.6800000016</v>
      </c>
      <c r="C5">
        <v>20</v>
      </c>
    </row>
    <row r="6" spans="1:3" x14ac:dyDescent="0.35">
      <c r="A6" s="6" t="s">
        <v>78</v>
      </c>
      <c r="B6" s="8">
        <v>6146875.2699999996</v>
      </c>
      <c r="C6">
        <v>23</v>
      </c>
    </row>
    <row r="7" spans="1:3" x14ac:dyDescent="0.35">
      <c r="A7" s="6" t="s">
        <v>79</v>
      </c>
      <c r="B7" s="8">
        <v>6958937.5199999996</v>
      </c>
      <c r="C7">
        <v>23</v>
      </c>
    </row>
    <row r="8" spans="1:3" x14ac:dyDescent="0.35">
      <c r="A8" s="6" t="s">
        <v>72</v>
      </c>
      <c r="B8" s="8">
        <v>29140466.07</v>
      </c>
      <c r="C8">
        <v>87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9DB324-8543-410F-ACCF-420A2AC01EBF}">
  <dimension ref="A3:E24"/>
  <sheetViews>
    <sheetView topLeftCell="A3" zoomScale="85" zoomScaleNormal="85" workbookViewId="0">
      <selection activeCell="D29" sqref="D29"/>
    </sheetView>
  </sheetViews>
  <sheetFormatPr defaultRowHeight="14.5" x14ac:dyDescent="0.35"/>
  <cols>
    <col min="1" max="1" width="23.453125" bestFit="1" customWidth="1"/>
    <col min="2" max="2" width="20.81640625" bestFit="1" customWidth="1"/>
    <col min="3" max="3" width="19.26953125" bestFit="1" customWidth="1"/>
    <col min="4" max="4" width="13.1796875" bestFit="1" customWidth="1"/>
    <col min="5" max="5" width="13.54296875" bestFit="1" customWidth="1"/>
  </cols>
  <sheetData>
    <row r="3" spans="1:5" x14ac:dyDescent="0.35">
      <c r="A3" s="4" t="s">
        <v>71</v>
      </c>
      <c r="B3" s="4" t="s">
        <v>4</v>
      </c>
    </row>
    <row r="4" spans="1:5" x14ac:dyDescent="0.35">
      <c r="A4" s="4" t="s">
        <v>1</v>
      </c>
      <c r="B4" t="s">
        <v>8</v>
      </c>
      <c r="C4" t="s">
        <v>13</v>
      </c>
      <c r="D4" t="s">
        <v>10</v>
      </c>
      <c r="E4" t="s">
        <v>72</v>
      </c>
    </row>
    <row r="5" spans="1:5" x14ac:dyDescent="0.35">
      <c r="A5" s="5">
        <v>45901</v>
      </c>
      <c r="B5">
        <v>145560.32000000001</v>
      </c>
      <c r="E5">
        <v>145560.32000000001</v>
      </c>
    </row>
    <row r="6" spans="1:5" x14ac:dyDescent="0.35">
      <c r="A6" s="5">
        <v>45902.95925925926</v>
      </c>
      <c r="C6">
        <v>230335.52</v>
      </c>
      <c r="D6">
        <v>1480474.25</v>
      </c>
      <c r="E6">
        <v>1710809.77</v>
      </c>
    </row>
    <row r="7" spans="1:5" x14ac:dyDescent="0.35">
      <c r="A7" s="5">
        <v>45903</v>
      </c>
      <c r="B7">
        <v>828168</v>
      </c>
      <c r="D7">
        <v>1209530.6000000001</v>
      </c>
      <c r="E7">
        <v>2037698.6</v>
      </c>
    </row>
    <row r="8" spans="1:5" x14ac:dyDescent="0.35">
      <c r="A8" s="5">
        <v>45904</v>
      </c>
      <c r="B8">
        <v>945548.23</v>
      </c>
      <c r="C8">
        <v>645784.15</v>
      </c>
      <c r="D8">
        <v>1254658.3500000001</v>
      </c>
      <c r="E8">
        <v>2845990.73</v>
      </c>
    </row>
    <row r="9" spans="1:5" x14ac:dyDescent="0.35">
      <c r="A9" s="5">
        <v>45905</v>
      </c>
      <c r="B9">
        <v>1604005.58</v>
      </c>
      <c r="D9">
        <v>315119.59999999998</v>
      </c>
      <c r="E9">
        <v>1919125.1800000002</v>
      </c>
    </row>
    <row r="10" spans="1:5" x14ac:dyDescent="0.35">
      <c r="A10" s="5">
        <v>45908.906990740739</v>
      </c>
      <c r="B10">
        <v>645784.15</v>
      </c>
      <c r="E10">
        <v>645784.15</v>
      </c>
    </row>
    <row r="11" spans="1:5" x14ac:dyDescent="0.35">
      <c r="A11" s="5">
        <v>45909</v>
      </c>
      <c r="B11">
        <v>205402</v>
      </c>
      <c r="C11">
        <v>542747.30000000005</v>
      </c>
      <c r="D11">
        <v>162848</v>
      </c>
      <c r="E11">
        <v>910997.3</v>
      </c>
    </row>
    <row r="12" spans="1:5" x14ac:dyDescent="0.35">
      <c r="A12" s="5">
        <v>45910</v>
      </c>
      <c r="B12">
        <v>879290</v>
      </c>
      <c r="C12">
        <v>954872.25</v>
      </c>
      <c r="D12">
        <v>325458.34999999998</v>
      </c>
      <c r="E12">
        <v>2159620.6</v>
      </c>
    </row>
    <row r="13" spans="1:5" x14ac:dyDescent="0.35">
      <c r="A13" s="5">
        <v>45911</v>
      </c>
      <c r="B13">
        <v>1271006.58</v>
      </c>
      <c r="C13">
        <v>167487</v>
      </c>
      <c r="D13">
        <v>154856.57999999999</v>
      </c>
      <c r="E13">
        <v>1593350.1600000001</v>
      </c>
    </row>
    <row r="14" spans="1:5" x14ac:dyDescent="0.35">
      <c r="A14" s="5">
        <v>45912</v>
      </c>
      <c r="B14">
        <v>665080</v>
      </c>
      <c r="C14">
        <v>1400636.47</v>
      </c>
      <c r="E14">
        <v>2065716.47</v>
      </c>
    </row>
    <row r="15" spans="1:5" x14ac:dyDescent="0.35">
      <c r="A15" s="5">
        <v>45916</v>
      </c>
      <c r="B15">
        <v>1591332.38</v>
      </c>
      <c r="D15">
        <v>154856.57999999999</v>
      </c>
      <c r="E15">
        <v>1746188.96</v>
      </c>
    </row>
    <row r="16" spans="1:5" x14ac:dyDescent="0.35">
      <c r="A16" s="5">
        <v>45917</v>
      </c>
      <c r="B16">
        <v>615005.65</v>
      </c>
      <c r="C16">
        <v>205402</v>
      </c>
      <c r="D16">
        <v>542747.30000000005</v>
      </c>
      <c r="E16">
        <v>1363154.9500000002</v>
      </c>
    </row>
    <row r="17" spans="1:5" x14ac:dyDescent="0.35">
      <c r="A17" s="5">
        <v>45918</v>
      </c>
      <c r="B17">
        <v>754852.32</v>
      </c>
      <c r="D17">
        <v>1677083.74</v>
      </c>
      <c r="E17">
        <v>2431936.06</v>
      </c>
    </row>
    <row r="18" spans="1:5" x14ac:dyDescent="0.35">
      <c r="A18" s="5">
        <v>45919</v>
      </c>
      <c r="B18">
        <v>605595.30000000005</v>
      </c>
      <c r="E18">
        <v>605595.30000000005</v>
      </c>
    </row>
    <row r="19" spans="1:5" x14ac:dyDescent="0.35">
      <c r="A19" s="5">
        <v>45923.953402777777</v>
      </c>
      <c r="B19">
        <v>1637632.6</v>
      </c>
      <c r="E19">
        <v>1637632.6</v>
      </c>
    </row>
    <row r="20" spans="1:5" x14ac:dyDescent="0.35">
      <c r="A20" s="5">
        <v>45924.919849537036</v>
      </c>
      <c r="D20">
        <v>913043.87</v>
      </c>
      <c r="E20">
        <v>913043.87</v>
      </c>
    </row>
    <row r="21" spans="1:5" x14ac:dyDescent="0.35">
      <c r="A21" s="5">
        <v>45925.906435185185</v>
      </c>
      <c r="B21">
        <v>645784.15</v>
      </c>
      <c r="D21">
        <v>645784.15</v>
      </c>
      <c r="E21">
        <v>1291568.3</v>
      </c>
    </row>
    <row r="22" spans="1:5" x14ac:dyDescent="0.35">
      <c r="A22" s="5">
        <v>45926.967199074075</v>
      </c>
      <c r="B22">
        <v>70266</v>
      </c>
      <c r="C22">
        <v>530860.35</v>
      </c>
      <c r="E22">
        <v>601126.35</v>
      </c>
    </row>
    <row r="23" spans="1:5" x14ac:dyDescent="0.35">
      <c r="A23" s="5">
        <v>45926.982361111113</v>
      </c>
      <c r="B23">
        <v>917382.58</v>
      </c>
      <c r="D23">
        <v>1598183.82</v>
      </c>
      <c r="E23">
        <v>2515566.4</v>
      </c>
    </row>
    <row r="24" spans="1:5" x14ac:dyDescent="0.35">
      <c r="A24" s="5" t="s">
        <v>72</v>
      </c>
      <c r="B24">
        <v>14027695.84</v>
      </c>
      <c r="C24">
        <v>4678125.04</v>
      </c>
      <c r="D24">
        <v>10434645.189999999</v>
      </c>
      <c r="E24">
        <v>29140466.070000004</v>
      </c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511996-F087-418E-9099-F9B7DE3EF342}">
  <dimension ref="A3:C7"/>
  <sheetViews>
    <sheetView workbookViewId="0">
      <selection activeCell="N9" sqref="N9"/>
    </sheetView>
  </sheetViews>
  <sheetFormatPr defaultRowHeight="14.5" x14ac:dyDescent="0.35"/>
  <cols>
    <col min="1" max="1" width="20.81640625" bestFit="1" customWidth="1"/>
    <col min="2" max="2" width="25.7265625" style="2" bestFit="1" customWidth="1"/>
    <col min="3" max="3" width="22.453125" style="7" bestFit="1" customWidth="1"/>
  </cols>
  <sheetData>
    <row r="3" spans="1:3" x14ac:dyDescent="0.35">
      <c r="A3" s="4" t="s">
        <v>4</v>
      </c>
      <c r="B3" t="s">
        <v>74</v>
      </c>
      <c r="C3" s="8" t="s">
        <v>89</v>
      </c>
    </row>
    <row r="4" spans="1:3" x14ac:dyDescent="0.35">
      <c r="A4" s="6" t="s">
        <v>8</v>
      </c>
      <c r="B4" s="2">
        <v>34.083214841820507</v>
      </c>
      <c r="C4" s="8">
        <v>14027695.840000002</v>
      </c>
    </row>
    <row r="5" spans="1:3" x14ac:dyDescent="0.35">
      <c r="A5" s="6" t="s">
        <v>13</v>
      </c>
      <c r="B5" s="2">
        <v>36.944553684764038</v>
      </c>
      <c r="C5" s="8">
        <v>4678125.0399999991</v>
      </c>
    </row>
    <row r="6" spans="1:3" x14ac:dyDescent="0.35">
      <c r="A6" s="6" t="s">
        <v>10</v>
      </c>
      <c r="B6" s="2">
        <v>36.227390665233195</v>
      </c>
      <c r="C6" s="8">
        <v>10434645.189999999</v>
      </c>
    </row>
    <row r="7" spans="1:3" x14ac:dyDescent="0.35">
      <c r="A7" s="6" t="s">
        <v>72</v>
      </c>
      <c r="B7" s="2">
        <v>35.379866020872122</v>
      </c>
      <c r="C7" s="8">
        <v>29140466.070000004</v>
      </c>
    </row>
  </sheetData>
  <pageMargins left="0.7" right="0.7" top="0.75" bottom="0.75" header="0.3" footer="0.3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163B34-9A87-42EE-83F4-537C8A7D1EA1}">
  <dimension ref="A1:K12"/>
  <sheetViews>
    <sheetView tabSelected="1" workbookViewId="0">
      <selection activeCell="B6" sqref="B6"/>
    </sheetView>
  </sheetViews>
  <sheetFormatPr defaultRowHeight="14.5" x14ac:dyDescent="0.35"/>
  <cols>
    <col min="1" max="1" width="29.81640625" bestFit="1" customWidth="1"/>
    <col min="2" max="2" width="15.453125" bestFit="1" customWidth="1"/>
    <col min="8" max="8" width="12.26953125" bestFit="1" customWidth="1"/>
    <col min="11" max="11" width="15" bestFit="1" customWidth="1"/>
  </cols>
  <sheetData>
    <row r="1" spans="1:11" x14ac:dyDescent="0.35">
      <c r="A1" t="s">
        <v>83</v>
      </c>
      <c r="B1" t="s">
        <v>84</v>
      </c>
    </row>
    <row r="2" spans="1:11" x14ac:dyDescent="0.35">
      <c r="A2" t="s">
        <v>85</v>
      </c>
      <c r="B2">
        <f>COUNTA('Delivery appts daily'!A2:A60)</f>
        <v>59</v>
      </c>
    </row>
    <row r="3" spans="1:11" x14ac:dyDescent="0.35">
      <c r="A3" t="s">
        <v>86</v>
      </c>
      <c r="B3">
        <f>COUNTIF('Delivery appts daily'!D2:D60, "Resolved")</f>
        <v>59</v>
      </c>
    </row>
    <row r="4" spans="1:11" x14ac:dyDescent="0.35">
      <c r="A4" t="s">
        <v>87</v>
      </c>
      <c r="B4">
        <f>COUNTIF('Delivery appts daily'!D2:D60, "Open")</f>
        <v>0</v>
      </c>
    </row>
    <row r="5" spans="1:11" x14ac:dyDescent="0.35">
      <c r="A5" t="s">
        <v>88</v>
      </c>
      <c r="B5">
        <v>34.54</v>
      </c>
    </row>
    <row r="6" spans="1:11" x14ac:dyDescent="0.35">
      <c r="A6" t="s">
        <v>89</v>
      </c>
      <c r="B6" s="7">
        <f>SUM(Tablo1[Recovered Value])</f>
        <v>29140466.069999997</v>
      </c>
    </row>
    <row r="7" spans="1:11" x14ac:dyDescent="0.35">
      <c r="A7" t="s">
        <v>90</v>
      </c>
      <c r="B7" s="7">
        <f>AVERAGE(Tablo1[Recovered Value])</f>
        <v>493906.20457627112</v>
      </c>
    </row>
    <row r="8" spans="1:11" x14ac:dyDescent="0.35">
      <c r="A8" t="s">
        <v>82</v>
      </c>
      <c r="B8">
        <f>SUM(Tablo1[Unloaded Trailer])</f>
        <v>87</v>
      </c>
    </row>
    <row r="9" spans="1:11" x14ac:dyDescent="0.35">
      <c r="A9" t="s">
        <v>91</v>
      </c>
      <c r="B9" s="9">
        <f>B8/B2*100</f>
        <v>147.45762711864407</v>
      </c>
    </row>
    <row r="11" spans="1:11" x14ac:dyDescent="0.35">
      <c r="H11" s="7"/>
    </row>
    <row r="12" spans="1:11" x14ac:dyDescent="0.35">
      <c r="K12" s="7"/>
    </row>
  </sheetData>
  <pageMargins left="0.7" right="0.7" top="0.75" bottom="0.75" header="0.3" footer="0.3"/>
  <pageSetup paperSize="9" orientation="portrait" horizontalDpi="300" verticalDpi="30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1D68EB-A8ED-4722-A5B4-B731369569CB}">
  <dimension ref="A1:C60"/>
  <sheetViews>
    <sheetView workbookViewId="0">
      <selection activeCell="G18" sqref="G18"/>
    </sheetView>
  </sheetViews>
  <sheetFormatPr defaultRowHeight="14.5" x14ac:dyDescent="0.35"/>
  <cols>
    <col min="1" max="1" width="12" style="1" bestFit="1" customWidth="1"/>
    <col min="2" max="2" width="16.1796875" style="8" bestFit="1" customWidth="1"/>
    <col min="3" max="3" width="15.81640625" bestFit="1" customWidth="1"/>
  </cols>
  <sheetData>
    <row r="1" spans="1:3" x14ac:dyDescent="0.35">
      <c r="A1" s="1" t="s">
        <v>1</v>
      </c>
      <c r="B1" s="8" t="s">
        <v>5</v>
      </c>
      <c r="C1" t="s">
        <v>75</v>
      </c>
    </row>
    <row r="2" spans="1:3" x14ac:dyDescent="0.35">
      <c r="A2" s="1">
        <v>45901</v>
      </c>
      <c r="B2" s="8">
        <v>145560.32000000001</v>
      </c>
      <c r="C2">
        <v>1</v>
      </c>
    </row>
    <row r="3" spans="1:3" x14ac:dyDescent="0.35">
      <c r="A3" s="1">
        <v>45902.95925925926</v>
      </c>
      <c r="B3" s="8">
        <v>954872.25</v>
      </c>
      <c r="C3">
        <v>1</v>
      </c>
    </row>
    <row r="4" spans="1:3" x14ac:dyDescent="0.35">
      <c r="A4" s="1">
        <v>45902.95925925926</v>
      </c>
      <c r="B4" s="8">
        <v>525602</v>
      </c>
      <c r="C4">
        <v>2</v>
      </c>
    </row>
    <row r="5" spans="1:3" x14ac:dyDescent="0.35">
      <c r="A5" s="1">
        <v>45902.95925925926</v>
      </c>
      <c r="B5" s="8">
        <v>167487.51999999999</v>
      </c>
      <c r="C5">
        <v>0</v>
      </c>
    </row>
    <row r="6" spans="1:3" x14ac:dyDescent="0.35">
      <c r="A6" s="1">
        <v>45902.95925925926</v>
      </c>
      <c r="B6" s="8">
        <v>62848</v>
      </c>
      <c r="C6">
        <v>1</v>
      </c>
    </row>
    <row r="7" spans="1:3" x14ac:dyDescent="0.35">
      <c r="A7" s="1">
        <v>45903</v>
      </c>
      <c r="B7" s="8">
        <v>954872.25</v>
      </c>
      <c r="C7">
        <v>1</v>
      </c>
    </row>
    <row r="8" spans="1:3" x14ac:dyDescent="0.35">
      <c r="A8" s="1">
        <v>45903</v>
      </c>
      <c r="B8" s="8">
        <v>254658.35</v>
      </c>
      <c r="C8">
        <v>2</v>
      </c>
    </row>
    <row r="9" spans="1:3" x14ac:dyDescent="0.35">
      <c r="A9" s="1">
        <v>45903</v>
      </c>
      <c r="B9" s="8">
        <v>142726</v>
      </c>
      <c r="C9">
        <v>1</v>
      </c>
    </row>
    <row r="10" spans="1:3" x14ac:dyDescent="0.35">
      <c r="A10" s="1">
        <v>45903</v>
      </c>
      <c r="B10" s="8">
        <v>685442</v>
      </c>
      <c r="C10">
        <v>1</v>
      </c>
    </row>
    <row r="11" spans="1:3" x14ac:dyDescent="0.35">
      <c r="A11" s="1">
        <v>45904</v>
      </c>
      <c r="B11" s="8">
        <v>1254658.3500000001</v>
      </c>
      <c r="C11">
        <v>3</v>
      </c>
    </row>
    <row r="12" spans="1:3" x14ac:dyDescent="0.35">
      <c r="A12" s="1">
        <v>45904</v>
      </c>
      <c r="B12" s="8">
        <v>945548.23</v>
      </c>
      <c r="C12">
        <v>2</v>
      </c>
    </row>
    <row r="13" spans="1:3" x14ac:dyDescent="0.35">
      <c r="A13" s="1">
        <v>45904</v>
      </c>
      <c r="B13" s="8">
        <v>645784.15</v>
      </c>
      <c r="C13">
        <v>3</v>
      </c>
    </row>
    <row r="14" spans="1:3" x14ac:dyDescent="0.35">
      <c r="A14" s="1">
        <v>45905</v>
      </c>
      <c r="B14" s="8">
        <v>315119.59999999998</v>
      </c>
      <c r="C14">
        <v>1</v>
      </c>
    </row>
    <row r="15" spans="1:3" x14ac:dyDescent="0.35">
      <c r="A15" s="1">
        <v>45905</v>
      </c>
      <c r="B15" s="8">
        <v>658457.35</v>
      </c>
      <c r="C15">
        <v>1</v>
      </c>
    </row>
    <row r="16" spans="1:3" x14ac:dyDescent="0.35">
      <c r="A16" s="1">
        <v>45905</v>
      </c>
      <c r="B16" s="8">
        <v>945548.23</v>
      </c>
      <c r="C16">
        <v>1</v>
      </c>
    </row>
    <row r="17" spans="1:3" x14ac:dyDescent="0.35">
      <c r="A17" s="1">
        <v>45908.906990740739</v>
      </c>
      <c r="B17" s="8">
        <v>645784.15</v>
      </c>
      <c r="C17">
        <v>2</v>
      </c>
    </row>
    <row r="18" spans="1:3" x14ac:dyDescent="0.35">
      <c r="A18" s="1">
        <v>45909</v>
      </c>
      <c r="B18" s="8">
        <v>205402</v>
      </c>
      <c r="C18">
        <v>1</v>
      </c>
    </row>
    <row r="19" spans="1:3" x14ac:dyDescent="0.35">
      <c r="A19" s="1">
        <v>45909</v>
      </c>
      <c r="B19" s="8">
        <v>162848</v>
      </c>
      <c r="C19">
        <v>0</v>
      </c>
    </row>
    <row r="20" spans="1:3" x14ac:dyDescent="0.35">
      <c r="A20" s="1">
        <v>45909</v>
      </c>
      <c r="B20" s="8">
        <v>542747.30000000005</v>
      </c>
      <c r="C20">
        <v>2</v>
      </c>
    </row>
    <row r="21" spans="1:3" x14ac:dyDescent="0.35">
      <c r="A21" s="1">
        <v>45910</v>
      </c>
      <c r="B21" s="8">
        <v>325458.34999999998</v>
      </c>
      <c r="C21">
        <v>1</v>
      </c>
    </row>
    <row r="22" spans="1:3" x14ac:dyDescent="0.35">
      <c r="A22" s="1">
        <v>45910</v>
      </c>
      <c r="B22" s="8">
        <v>800850</v>
      </c>
      <c r="C22">
        <v>2</v>
      </c>
    </row>
    <row r="23" spans="1:3" x14ac:dyDescent="0.35">
      <c r="A23" s="1">
        <v>45910</v>
      </c>
      <c r="B23" s="8">
        <v>78440</v>
      </c>
      <c r="C23">
        <v>1</v>
      </c>
    </row>
    <row r="24" spans="1:3" x14ac:dyDescent="0.35">
      <c r="A24" s="1">
        <v>45910</v>
      </c>
      <c r="B24" s="8">
        <v>954872.25</v>
      </c>
      <c r="C24">
        <v>1</v>
      </c>
    </row>
    <row r="25" spans="1:3" x14ac:dyDescent="0.35">
      <c r="A25" s="1">
        <v>45911</v>
      </c>
      <c r="B25" s="8">
        <v>325458.34999999998</v>
      </c>
      <c r="C25">
        <v>1</v>
      </c>
    </row>
    <row r="26" spans="1:3" x14ac:dyDescent="0.35">
      <c r="A26" s="1">
        <v>45911</v>
      </c>
      <c r="B26" s="8">
        <v>154856.57999999999</v>
      </c>
      <c r="C26">
        <v>0</v>
      </c>
    </row>
    <row r="27" spans="1:3" x14ac:dyDescent="0.35">
      <c r="A27" s="1">
        <v>45911</v>
      </c>
      <c r="B27" s="8">
        <v>167487</v>
      </c>
      <c r="C27">
        <v>1</v>
      </c>
    </row>
    <row r="28" spans="1:3" x14ac:dyDescent="0.35">
      <c r="A28" s="1">
        <v>45911</v>
      </c>
      <c r="B28" s="8">
        <v>945548.23</v>
      </c>
      <c r="C28">
        <v>1</v>
      </c>
    </row>
    <row r="29" spans="1:3" x14ac:dyDescent="0.35">
      <c r="A29" s="1">
        <v>45912</v>
      </c>
      <c r="B29" s="8">
        <v>645784.15</v>
      </c>
      <c r="C29">
        <v>3</v>
      </c>
    </row>
    <row r="30" spans="1:3" x14ac:dyDescent="0.35">
      <c r="A30" s="1">
        <v>45912</v>
      </c>
      <c r="B30" s="8">
        <v>665080</v>
      </c>
      <c r="C30">
        <v>2</v>
      </c>
    </row>
    <row r="31" spans="1:3" x14ac:dyDescent="0.35">
      <c r="A31" s="1">
        <v>45912</v>
      </c>
      <c r="B31" s="8">
        <v>754852.32</v>
      </c>
      <c r="C31">
        <v>2</v>
      </c>
    </row>
    <row r="32" spans="1:3" x14ac:dyDescent="0.35">
      <c r="A32" s="1">
        <v>45916</v>
      </c>
      <c r="B32" s="8">
        <v>154856.57999999999</v>
      </c>
      <c r="C32">
        <v>2</v>
      </c>
    </row>
    <row r="33" spans="1:3" x14ac:dyDescent="0.35">
      <c r="A33" s="1">
        <v>45916</v>
      </c>
      <c r="B33" s="8">
        <v>945548.23</v>
      </c>
      <c r="C33">
        <v>3</v>
      </c>
    </row>
    <row r="34" spans="1:3" x14ac:dyDescent="0.35">
      <c r="A34" s="1">
        <v>45916</v>
      </c>
      <c r="B34" s="8">
        <v>645784.15</v>
      </c>
      <c r="C34">
        <v>1</v>
      </c>
    </row>
    <row r="35" spans="1:3" x14ac:dyDescent="0.35">
      <c r="A35" s="1">
        <v>45917</v>
      </c>
      <c r="B35" s="8">
        <v>205402</v>
      </c>
      <c r="C35">
        <v>1</v>
      </c>
    </row>
    <row r="36" spans="1:3" x14ac:dyDescent="0.35">
      <c r="A36" s="1">
        <v>45917</v>
      </c>
      <c r="B36" s="8">
        <v>162848</v>
      </c>
      <c r="C36">
        <v>2</v>
      </c>
    </row>
    <row r="37" spans="1:3" x14ac:dyDescent="0.35">
      <c r="A37" s="1">
        <v>45917</v>
      </c>
      <c r="B37" s="8">
        <v>542747.30000000005</v>
      </c>
      <c r="C37">
        <v>1</v>
      </c>
    </row>
    <row r="38" spans="1:3" x14ac:dyDescent="0.35">
      <c r="A38" s="1">
        <v>45917</v>
      </c>
      <c r="B38" s="8">
        <v>452157.65</v>
      </c>
      <c r="C38">
        <v>1</v>
      </c>
    </row>
    <row r="39" spans="1:3" x14ac:dyDescent="0.35">
      <c r="A39" s="1">
        <v>45918</v>
      </c>
      <c r="B39" s="8">
        <v>754852.32</v>
      </c>
      <c r="C39">
        <v>1</v>
      </c>
    </row>
    <row r="40" spans="1:3" x14ac:dyDescent="0.35">
      <c r="A40" s="1">
        <v>45918</v>
      </c>
      <c r="B40" s="8">
        <v>754852.32</v>
      </c>
      <c r="C40">
        <v>2</v>
      </c>
    </row>
    <row r="41" spans="1:3" x14ac:dyDescent="0.35">
      <c r="A41" s="1">
        <v>45918</v>
      </c>
      <c r="B41" s="8">
        <v>254586.52</v>
      </c>
      <c r="C41">
        <v>1</v>
      </c>
    </row>
    <row r="42" spans="1:3" x14ac:dyDescent="0.35">
      <c r="A42" s="1">
        <v>45918</v>
      </c>
      <c r="B42" s="8">
        <v>452157.65</v>
      </c>
      <c r="C42">
        <v>2</v>
      </c>
    </row>
    <row r="43" spans="1:3" x14ac:dyDescent="0.35">
      <c r="A43" s="1">
        <v>45918</v>
      </c>
      <c r="B43" s="8">
        <v>215487.25</v>
      </c>
      <c r="C43">
        <v>1</v>
      </c>
    </row>
    <row r="44" spans="1:3" x14ac:dyDescent="0.35">
      <c r="A44" s="1">
        <v>45919</v>
      </c>
      <c r="B44" s="8">
        <v>542747.30000000005</v>
      </c>
      <c r="C44">
        <v>3</v>
      </c>
    </row>
    <row r="45" spans="1:3" x14ac:dyDescent="0.35">
      <c r="A45" s="1">
        <v>45919</v>
      </c>
      <c r="B45" s="8">
        <v>62848</v>
      </c>
      <c r="C45">
        <v>2</v>
      </c>
    </row>
    <row r="46" spans="1:3" x14ac:dyDescent="0.35">
      <c r="A46" s="1">
        <v>45923.953400613427</v>
      </c>
      <c r="B46" s="8">
        <v>215487.25</v>
      </c>
      <c r="C46">
        <v>2</v>
      </c>
    </row>
    <row r="47" spans="1:3" x14ac:dyDescent="0.35">
      <c r="A47" s="1">
        <v>45923.953400613427</v>
      </c>
      <c r="B47" s="8">
        <v>1254658.3500000001</v>
      </c>
      <c r="C47">
        <v>2</v>
      </c>
    </row>
    <row r="48" spans="1:3" x14ac:dyDescent="0.35">
      <c r="A48" s="1">
        <v>45923.953400613427</v>
      </c>
      <c r="B48" s="8">
        <v>167487</v>
      </c>
      <c r="C48">
        <v>2</v>
      </c>
    </row>
    <row r="49" spans="1:3" x14ac:dyDescent="0.35">
      <c r="A49" s="1">
        <v>45924.91984667824</v>
      </c>
      <c r="B49" s="8">
        <v>254586.52</v>
      </c>
      <c r="C49">
        <v>3</v>
      </c>
    </row>
    <row r="50" spans="1:3" x14ac:dyDescent="0.35">
      <c r="A50" s="1">
        <v>45924.91984667824</v>
      </c>
      <c r="B50" s="8">
        <v>658457.35</v>
      </c>
      <c r="C50">
        <v>1</v>
      </c>
    </row>
    <row r="51" spans="1:3" x14ac:dyDescent="0.35">
      <c r="A51" s="1">
        <v>45925.906431446761</v>
      </c>
      <c r="B51" s="8">
        <v>645784.15</v>
      </c>
      <c r="C51">
        <v>4</v>
      </c>
    </row>
    <row r="52" spans="1:3" x14ac:dyDescent="0.35">
      <c r="A52" s="1">
        <v>45925.906431446761</v>
      </c>
      <c r="B52" s="8">
        <v>645784.15</v>
      </c>
      <c r="C52">
        <v>1</v>
      </c>
    </row>
    <row r="53" spans="1:3" x14ac:dyDescent="0.35">
      <c r="A53" s="1">
        <v>45926.967199386578</v>
      </c>
      <c r="B53" s="8">
        <v>70266</v>
      </c>
      <c r="C53">
        <v>2</v>
      </c>
    </row>
    <row r="54" spans="1:3" x14ac:dyDescent="0.35">
      <c r="A54" s="1">
        <v>45926.967199386578</v>
      </c>
      <c r="B54" s="8">
        <v>205402</v>
      </c>
      <c r="C54">
        <v>1</v>
      </c>
    </row>
    <row r="55" spans="1:3" x14ac:dyDescent="0.35">
      <c r="A55" s="1">
        <v>45926.967199386578</v>
      </c>
      <c r="B55" s="8">
        <v>325458.34999999998</v>
      </c>
      <c r="C55">
        <v>1</v>
      </c>
    </row>
    <row r="56" spans="1:3" x14ac:dyDescent="0.35">
      <c r="A56" s="1">
        <v>45926.982363645831</v>
      </c>
      <c r="B56" s="8">
        <v>762526</v>
      </c>
      <c r="C56">
        <v>1</v>
      </c>
    </row>
    <row r="57" spans="1:3" x14ac:dyDescent="0.35">
      <c r="A57" s="1">
        <v>45926.982363645831</v>
      </c>
      <c r="B57" s="8">
        <v>800850</v>
      </c>
      <c r="C57">
        <v>0</v>
      </c>
    </row>
    <row r="58" spans="1:3" x14ac:dyDescent="0.35">
      <c r="A58" s="1">
        <v>45926.982363645831</v>
      </c>
      <c r="B58" s="8">
        <v>542747.30000000005</v>
      </c>
      <c r="C58">
        <v>2</v>
      </c>
    </row>
    <row r="59" spans="1:3" x14ac:dyDescent="0.35">
      <c r="A59" s="1">
        <v>45926.982363645831</v>
      </c>
      <c r="B59" s="8">
        <v>254586.52</v>
      </c>
      <c r="C59">
        <v>1</v>
      </c>
    </row>
    <row r="60" spans="1:3" x14ac:dyDescent="0.35">
      <c r="A60" s="1">
        <v>45926.982363645831</v>
      </c>
      <c r="B60" s="8">
        <v>154856.57999999999</v>
      </c>
      <c r="C60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E856A2-2AE0-4990-9F5D-4522CE5282D3}">
  <dimension ref="A1:G60"/>
  <sheetViews>
    <sheetView workbookViewId="0">
      <selection activeCell="I35" sqref="I35"/>
    </sheetView>
  </sheetViews>
  <sheetFormatPr defaultRowHeight="14.5" x14ac:dyDescent="0.35"/>
  <cols>
    <col min="1" max="1" width="29" bestFit="1" customWidth="1"/>
    <col min="2" max="2" width="11.453125" style="1" bestFit="1" customWidth="1"/>
    <col min="3" max="3" width="13.81640625" style="1" bestFit="1" customWidth="1"/>
    <col min="5" max="5" width="20.81640625" bestFit="1" customWidth="1"/>
    <col min="6" max="6" width="16.1796875" style="8" bestFit="1" customWidth="1"/>
    <col min="7" max="7" width="15.26953125" style="2" bestFit="1" customWidth="1"/>
  </cols>
  <sheetData>
    <row r="1" spans="1:7" x14ac:dyDescent="0.35">
      <c r="A1" t="s">
        <v>0</v>
      </c>
      <c r="B1" s="1" t="s">
        <v>1</v>
      </c>
      <c r="C1" s="1" t="s">
        <v>2</v>
      </c>
      <c r="D1" t="s">
        <v>3</v>
      </c>
      <c r="E1" t="s">
        <v>4</v>
      </c>
      <c r="F1" s="8" t="s">
        <v>5</v>
      </c>
      <c r="G1" s="2" t="s">
        <v>73</v>
      </c>
    </row>
    <row r="2" spans="1:7" x14ac:dyDescent="0.35">
      <c r="A2" t="s">
        <v>6</v>
      </c>
      <c r="B2" s="1">
        <v>45901</v>
      </c>
      <c r="C2" s="1">
        <v>45938.772789918985</v>
      </c>
      <c r="D2" t="s">
        <v>7</v>
      </c>
      <c r="E2" t="s">
        <v>8</v>
      </c>
      <c r="F2" s="8">
        <v>145560.32000000001</v>
      </c>
      <c r="G2" s="2">
        <f>C2-B2</f>
        <v>37.772789918984927</v>
      </c>
    </row>
    <row r="3" spans="1:7" x14ac:dyDescent="0.35">
      <c r="A3" t="s">
        <v>9</v>
      </c>
      <c r="B3" s="1">
        <v>45902.95925925926</v>
      </c>
      <c r="C3" s="1">
        <v>45960.924582337961</v>
      </c>
      <c r="D3" t="s">
        <v>7</v>
      </c>
      <c r="E3" t="s">
        <v>10</v>
      </c>
      <c r="F3" s="8">
        <v>954872.25</v>
      </c>
      <c r="G3" s="2">
        <f t="shared" ref="G3:G60" si="0">C3-B3</f>
        <v>57.965323078700749</v>
      </c>
    </row>
    <row r="4" spans="1:7" x14ac:dyDescent="0.35">
      <c r="A4" t="s">
        <v>11</v>
      </c>
      <c r="B4" s="1">
        <v>45902.95925925926</v>
      </c>
      <c r="C4" s="1">
        <v>45946.932515196757</v>
      </c>
      <c r="D4" t="s">
        <v>7</v>
      </c>
      <c r="E4" t="s">
        <v>10</v>
      </c>
      <c r="F4" s="8">
        <v>525602</v>
      </c>
      <c r="G4" s="2">
        <f t="shared" si="0"/>
        <v>43.973255937497015</v>
      </c>
    </row>
    <row r="5" spans="1:7" x14ac:dyDescent="0.35">
      <c r="A5" t="s">
        <v>12</v>
      </c>
      <c r="B5" s="1">
        <v>45902.95925925926</v>
      </c>
      <c r="C5" s="1">
        <v>45943.807322696761</v>
      </c>
      <c r="D5" t="s">
        <v>7</v>
      </c>
      <c r="E5" t="s">
        <v>13</v>
      </c>
      <c r="F5" s="8">
        <v>167487.51999999999</v>
      </c>
      <c r="G5" s="2">
        <f t="shared" si="0"/>
        <v>40.848063437500969</v>
      </c>
    </row>
    <row r="6" spans="1:7" x14ac:dyDescent="0.35">
      <c r="A6" t="s">
        <v>14</v>
      </c>
      <c r="B6" s="1">
        <v>45902.95925925926</v>
      </c>
      <c r="C6" s="1">
        <v>45947.890804756942</v>
      </c>
      <c r="D6" t="s">
        <v>7</v>
      </c>
      <c r="E6" t="s">
        <v>13</v>
      </c>
      <c r="F6" s="8">
        <v>62848</v>
      </c>
      <c r="G6" s="2">
        <f t="shared" si="0"/>
        <v>44.931545497682237</v>
      </c>
    </row>
    <row r="7" spans="1:7" x14ac:dyDescent="0.35">
      <c r="A7" t="s">
        <v>15</v>
      </c>
      <c r="B7" s="1">
        <v>45903</v>
      </c>
      <c r="C7" s="1">
        <v>45952.844946863428</v>
      </c>
      <c r="D7" t="s">
        <v>7</v>
      </c>
      <c r="E7" t="s">
        <v>10</v>
      </c>
      <c r="F7" s="8">
        <v>954872.25</v>
      </c>
      <c r="G7" s="2">
        <f t="shared" si="0"/>
        <v>49.844946863428049</v>
      </c>
    </row>
    <row r="8" spans="1:7" x14ac:dyDescent="0.35">
      <c r="A8" t="s">
        <v>16</v>
      </c>
      <c r="B8" s="1">
        <v>45903</v>
      </c>
      <c r="C8" s="1">
        <v>45945.957056030093</v>
      </c>
      <c r="D8" t="s">
        <v>7</v>
      </c>
      <c r="E8" t="s">
        <v>10</v>
      </c>
      <c r="F8" s="8">
        <v>254658.35</v>
      </c>
      <c r="G8" s="2">
        <f t="shared" si="0"/>
        <v>42.957056030092645</v>
      </c>
    </row>
    <row r="9" spans="1:7" x14ac:dyDescent="0.35">
      <c r="A9" t="s">
        <v>17</v>
      </c>
      <c r="B9" s="1">
        <v>45903</v>
      </c>
      <c r="C9" s="1">
        <v>45937.933894201386</v>
      </c>
      <c r="D9" t="s">
        <v>7</v>
      </c>
      <c r="E9" t="s">
        <v>8</v>
      </c>
      <c r="F9" s="8">
        <v>142726</v>
      </c>
      <c r="G9" s="2">
        <f t="shared" si="0"/>
        <v>34.933894201385556</v>
      </c>
    </row>
    <row r="10" spans="1:7" x14ac:dyDescent="0.35">
      <c r="A10" t="s">
        <v>18</v>
      </c>
      <c r="B10" s="1">
        <v>45903</v>
      </c>
      <c r="C10" s="1">
        <v>45957.988031412038</v>
      </c>
      <c r="D10" t="s">
        <v>7</v>
      </c>
      <c r="E10" t="s">
        <v>8</v>
      </c>
      <c r="F10" s="8">
        <v>685442</v>
      </c>
      <c r="G10" s="2">
        <f t="shared" si="0"/>
        <v>54.988031412038254</v>
      </c>
    </row>
    <row r="11" spans="1:7" x14ac:dyDescent="0.35">
      <c r="A11" t="s">
        <v>19</v>
      </c>
      <c r="B11" s="1">
        <v>45904</v>
      </c>
      <c r="C11" s="1">
        <v>45943.794194803238</v>
      </c>
      <c r="D11" t="s">
        <v>7</v>
      </c>
      <c r="E11" t="s">
        <v>10</v>
      </c>
      <c r="F11" s="8">
        <v>1254658.3500000001</v>
      </c>
      <c r="G11" s="2">
        <f t="shared" si="0"/>
        <v>39.794194803238497</v>
      </c>
    </row>
    <row r="12" spans="1:7" x14ac:dyDescent="0.35">
      <c r="A12" t="s">
        <v>20</v>
      </c>
      <c r="B12" s="1">
        <v>45904</v>
      </c>
      <c r="C12" s="1">
        <v>45945.881341921297</v>
      </c>
      <c r="D12" t="s">
        <v>7</v>
      </c>
      <c r="E12" t="s">
        <v>8</v>
      </c>
      <c r="F12" s="8">
        <v>945548.23</v>
      </c>
      <c r="G12" s="2">
        <f t="shared" si="0"/>
        <v>41.881341921296553</v>
      </c>
    </row>
    <row r="13" spans="1:7" x14ac:dyDescent="0.35">
      <c r="A13" t="s">
        <v>21</v>
      </c>
      <c r="B13" s="1">
        <v>45904</v>
      </c>
      <c r="C13" s="1">
        <v>45951.790627002316</v>
      </c>
      <c r="D13" t="s">
        <v>7</v>
      </c>
      <c r="E13" t="s">
        <v>13</v>
      </c>
      <c r="F13" s="8">
        <v>645784.15</v>
      </c>
      <c r="G13" s="2">
        <f t="shared" si="0"/>
        <v>47.790627002315887</v>
      </c>
    </row>
    <row r="14" spans="1:7" x14ac:dyDescent="0.35">
      <c r="A14" t="s">
        <v>22</v>
      </c>
      <c r="B14" s="1">
        <v>45905</v>
      </c>
      <c r="C14" s="1">
        <v>45951.828128159723</v>
      </c>
      <c r="D14" t="s">
        <v>7</v>
      </c>
      <c r="E14" t="s">
        <v>10</v>
      </c>
      <c r="F14" s="8">
        <v>315119.59999999998</v>
      </c>
      <c r="G14" s="2">
        <f t="shared" si="0"/>
        <v>46.828128159722837</v>
      </c>
    </row>
    <row r="15" spans="1:7" x14ac:dyDescent="0.35">
      <c r="A15" t="s">
        <v>23</v>
      </c>
      <c r="B15" s="1">
        <v>45905</v>
      </c>
      <c r="C15" s="1">
        <v>45960.932266481483</v>
      </c>
      <c r="D15" t="s">
        <v>7</v>
      </c>
      <c r="E15" t="s">
        <v>8</v>
      </c>
      <c r="F15" s="8">
        <v>658457.35</v>
      </c>
      <c r="G15" s="2">
        <f t="shared" si="0"/>
        <v>55.932266481482657</v>
      </c>
    </row>
    <row r="16" spans="1:7" x14ac:dyDescent="0.35">
      <c r="A16" t="s">
        <v>24</v>
      </c>
      <c r="B16" s="1">
        <v>45905</v>
      </c>
      <c r="C16" s="1">
        <v>45959.720920405096</v>
      </c>
      <c r="D16" t="s">
        <v>7</v>
      </c>
      <c r="E16" t="s">
        <v>8</v>
      </c>
      <c r="F16" s="8">
        <v>945548.23</v>
      </c>
      <c r="G16" s="2">
        <f t="shared" si="0"/>
        <v>54.720920405095967</v>
      </c>
    </row>
    <row r="17" spans="1:7" x14ac:dyDescent="0.35">
      <c r="A17" t="s">
        <v>25</v>
      </c>
      <c r="B17" s="1">
        <v>45908.906990740739</v>
      </c>
      <c r="C17" s="1">
        <v>45951.939748865741</v>
      </c>
      <c r="D17" t="s">
        <v>7</v>
      </c>
      <c r="E17" t="s">
        <v>8</v>
      </c>
      <c r="F17" s="8">
        <v>645784.15</v>
      </c>
      <c r="G17" s="2">
        <f t="shared" si="0"/>
        <v>43.032758125002147</v>
      </c>
    </row>
    <row r="18" spans="1:7" x14ac:dyDescent="0.35">
      <c r="A18" t="s">
        <v>26</v>
      </c>
      <c r="B18" s="1">
        <v>45909</v>
      </c>
      <c r="C18" s="1">
        <v>45958.841225254633</v>
      </c>
      <c r="D18" t="s">
        <v>7</v>
      </c>
      <c r="E18" t="s">
        <v>8</v>
      </c>
      <c r="F18" s="8">
        <v>205402</v>
      </c>
      <c r="G18" s="2">
        <f t="shared" si="0"/>
        <v>49.841225254633173</v>
      </c>
    </row>
    <row r="19" spans="1:7" x14ac:dyDescent="0.35">
      <c r="A19" t="s">
        <v>27</v>
      </c>
      <c r="B19" s="1">
        <v>45909</v>
      </c>
      <c r="C19" s="1">
        <v>45953.74931165509</v>
      </c>
      <c r="D19" t="s">
        <v>7</v>
      </c>
      <c r="E19" t="s">
        <v>10</v>
      </c>
      <c r="F19" s="8">
        <v>162848</v>
      </c>
      <c r="G19" s="2">
        <f t="shared" si="0"/>
        <v>44.749311655090423</v>
      </c>
    </row>
    <row r="20" spans="1:7" x14ac:dyDescent="0.35">
      <c r="A20" t="s">
        <v>28</v>
      </c>
      <c r="B20" s="1">
        <v>45909</v>
      </c>
      <c r="C20" s="1">
        <v>45938.700051122687</v>
      </c>
      <c r="D20" t="s">
        <v>7</v>
      </c>
      <c r="E20" t="s">
        <v>13</v>
      </c>
      <c r="F20" s="8">
        <v>542747.30000000005</v>
      </c>
      <c r="G20" s="2">
        <f t="shared" si="0"/>
        <v>29.700051122687</v>
      </c>
    </row>
    <row r="21" spans="1:7" x14ac:dyDescent="0.35">
      <c r="A21" t="s">
        <v>29</v>
      </c>
      <c r="B21" s="1">
        <v>45910</v>
      </c>
      <c r="C21" s="1">
        <v>45954.745541388889</v>
      </c>
      <c r="D21" t="s">
        <v>7</v>
      </c>
      <c r="E21" t="s">
        <v>10</v>
      </c>
      <c r="F21" s="8">
        <v>325458.34999999998</v>
      </c>
      <c r="G21" s="2">
        <f t="shared" si="0"/>
        <v>44.745541388889251</v>
      </c>
    </row>
    <row r="22" spans="1:7" x14ac:dyDescent="0.35">
      <c r="A22" t="s">
        <v>30</v>
      </c>
      <c r="B22" s="1">
        <v>45910</v>
      </c>
      <c r="C22" s="1">
        <v>45945.930241249996</v>
      </c>
      <c r="D22" t="s">
        <v>7</v>
      </c>
      <c r="E22" t="s">
        <v>8</v>
      </c>
      <c r="F22" s="8">
        <v>800850</v>
      </c>
      <c r="G22" s="2">
        <f t="shared" si="0"/>
        <v>35.93024124999647</v>
      </c>
    </row>
    <row r="23" spans="1:7" x14ac:dyDescent="0.35">
      <c r="A23" t="s">
        <v>31</v>
      </c>
      <c r="B23" s="1">
        <v>45910</v>
      </c>
      <c r="C23" s="1">
        <v>45936.980733344906</v>
      </c>
      <c r="D23" t="s">
        <v>7</v>
      </c>
      <c r="E23" t="s">
        <v>8</v>
      </c>
      <c r="F23" s="8">
        <v>78440</v>
      </c>
      <c r="G23" s="2">
        <f t="shared" si="0"/>
        <v>26.980733344906184</v>
      </c>
    </row>
    <row r="24" spans="1:7" x14ac:dyDescent="0.35">
      <c r="A24" t="s">
        <v>32</v>
      </c>
      <c r="B24" s="1">
        <v>45910</v>
      </c>
      <c r="C24" s="1">
        <v>45959.851920960646</v>
      </c>
      <c r="D24" t="s">
        <v>7</v>
      </c>
      <c r="E24" t="s">
        <v>13</v>
      </c>
      <c r="F24" s="8">
        <v>954872.25</v>
      </c>
      <c r="G24" s="2">
        <f t="shared" si="0"/>
        <v>49.851920960645657</v>
      </c>
    </row>
    <row r="25" spans="1:7" x14ac:dyDescent="0.35">
      <c r="A25" t="s">
        <v>33</v>
      </c>
      <c r="B25" s="1">
        <v>45911</v>
      </c>
      <c r="C25" s="1">
        <v>45939.736218599537</v>
      </c>
      <c r="D25" t="s">
        <v>7</v>
      </c>
      <c r="E25" t="s">
        <v>8</v>
      </c>
      <c r="F25" s="8">
        <v>325458.34999999998</v>
      </c>
      <c r="G25" s="2">
        <f t="shared" si="0"/>
        <v>28.736218599537096</v>
      </c>
    </row>
    <row r="26" spans="1:7" x14ac:dyDescent="0.35">
      <c r="A26" t="s">
        <v>34</v>
      </c>
      <c r="B26" s="1">
        <v>45911</v>
      </c>
      <c r="C26" s="1">
        <v>45957.996327210647</v>
      </c>
      <c r="D26" t="s">
        <v>7</v>
      </c>
      <c r="E26" t="s">
        <v>10</v>
      </c>
      <c r="F26" s="8">
        <v>154856.57999999999</v>
      </c>
      <c r="G26" s="2">
        <f t="shared" si="0"/>
        <v>46.996327210646996</v>
      </c>
    </row>
    <row r="27" spans="1:7" x14ac:dyDescent="0.35">
      <c r="A27" t="s">
        <v>35</v>
      </c>
      <c r="B27" s="1">
        <v>45911</v>
      </c>
      <c r="C27" s="1">
        <v>45953.715959710651</v>
      </c>
      <c r="D27" t="s">
        <v>7</v>
      </c>
      <c r="E27" t="s">
        <v>13</v>
      </c>
      <c r="F27" s="8">
        <v>167487</v>
      </c>
      <c r="G27" s="2">
        <f t="shared" si="0"/>
        <v>42.715959710651077</v>
      </c>
    </row>
    <row r="28" spans="1:7" x14ac:dyDescent="0.35">
      <c r="A28" t="s">
        <v>36</v>
      </c>
      <c r="B28" s="1">
        <v>45911</v>
      </c>
      <c r="C28" s="1">
        <v>45947.865655543981</v>
      </c>
      <c r="D28" t="s">
        <v>7</v>
      </c>
      <c r="E28" t="s">
        <v>8</v>
      </c>
      <c r="F28" s="8">
        <v>945548.23</v>
      </c>
      <c r="G28" s="2">
        <f t="shared" si="0"/>
        <v>36.86565554398112</v>
      </c>
    </row>
    <row r="29" spans="1:7" x14ac:dyDescent="0.35">
      <c r="A29" t="s">
        <v>37</v>
      </c>
      <c r="B29" s="1">
        <v>45912</v>
      </c>
      <c r="C29" s="1">
        <v>45947.905042048609</v>
      </c>
      <c r="D29" t="s">
        <v>7</v>
      </c>
      <c r="E29" t="s">
        <v>13</v>
      </c>
      <c r="F29" s="8">
        <v>645784.15</v>
      </c>
      <c r="G29" s="2">
        <f t="shared" si="0"/>
        <v>35.905042048609175</v>
      </c>
    </row>
    <row r="30" spans="1:7" x14ac:dyDescent="0.35">
      <c r="A30" t="s">
        <v>38</v>
      </c>
      <c r="B30" s="1">
        <v>45912</v>
      </c>
      <c r="C30" s="1">
        <v>45944.988465486109</v>
      </c>
      <c r="D30" t="s">
        <v>7</v>
      </c>
      <c r="E30" t="s">
        <v>8</v>
      </c>
      <c r="F30" s="8">
        <v>665080</v>
      </c>
      <c r="G30" s="2">
        <f t="shared" si="0"/>
        <v>32.988465486108907</v>
      </c>
    </row>
    <row r="31" spans="1:7" x14ac:dyDescent="0.35">
      <c r="A31" t="s">
        <v>39</v>
      </c>
      <c r="B31" s="1">
        <v>45912</v>
      </c>
      <c r="C31" s="1">
        <v>45950.952650150466</v>
      </c>
      <c r="D31" t="s">
        <v>7</v>
      </c>
      <c r="E31" t="s">
        <v>13</v>
      </c>
      <c r="F31" s="8">
        <v>754852.32</v>
      </c>
      <c r="G31" s="2">
        <f t="shared" si="0"/>
        <v>38.95265015046607</v>
      </c>
    </row>
    <row r="32" spans="1:7" x14ac:dyDescent="0.35">
      <c r="A32" t="s">
        <v>40</v>
      </c>
      <c r="B32" s="1">
        <v>45916</v>
      </c>
      <c r="C32" s="1">
        <v>45958.990568136571</v>
      </c>
      <c r="D32" t="s">
        <v>7</v>
      </c>
      <c r="E32" t="s">
        <v>10</v>
      </c>
      <c r="F32" s="8">
        <v>154856.57999999999</v>
      </c>
      <c r="G32" s="2">
        <f t="shared" si="0"/>
        <v>42.990568136570801</v>
      </c>
    </row>
    <row r="33" spans="1:7" x14ac:dyDescent="0.35">
      <c r="A33" t="s">
        <v>41</v>
      </c>
      <c r="B33" s="1">
        <v>45916</v>
      </c>
      <c r="C33" s="1">
        <v>45959.916741666668</v>
      </c>
      <c r="D33" t="s">
        <v>7</v>
      </c>
      <c r="E33" t="s">
        <v>8</v>
      </c>
      <c r="F33" s="8">
        <v>945548.23</v>
      </c>
      <c r="G33" s="2">
        <f t="shared" si="0"/>
        <v>43.916741666667804</v>
      </c>
    </row>
    <row r="34" spans="1:7" x14ac:dyDescent="0.35">
      <c r="A34" t="s">
        <v>42</v>
      </c>
      <c r="B34" s="1">
        <v>45916</v>
      </c>
      <c r="C34" s="1">
        <v>45940.902040358793</v>
      </c>
      <c r="D34" t="s">
        <v>7</v>
      </c>
      <c r="E34" t="s">
        <v>8</v>
      </c>
      <c r="F34" s="8">
        <v>645784.15</v>
      </c>
      <c r="G34" s="2">
        <f t="shared" si="0"/>
        <v>24.902040358792874</v>
      </c>
    </row>
    <row r="35" spans="1:7" x14ac:dyDescent="0.35">
      <c r="A35" t="s">
        <v>43</v>
      </c>
      <c r="B35" s="1">
        <v>45917</v>
      </c>
      <c r="C35" s="1">
        <v>45946.921713854164</v>
      </c>
      <c r="D35" t="s">
        <v>7</v>
      </c>
      <c r="E35" t="s">
        <v>13</v>
      </c>
      <c r="F35" s="8">
        <v>205402</v>
      </c>
      <c r="G35" s="2">
        <f t="shared" si="0"/>
        <v>29.921713854164409</v>
      </c>
    </row>
    <row r="36" spans="1:7" x14ac:dyDescent="0.35">
      <c r="A36" t="s">
        <v>44</v>
      </c>
      <c r="B36" s="1">
        <v>45917</v>
      </c>
      <c r="C36" s="1">
        <v>45957.803147060185</v>
      </c>
      <c r="D36" t="s">
        <v>7</v>
      </c>
      <c r="E36" t="s">
        <v>8</v>
      </c>
      <c r="F36" s="8">
        <v>162848</v>
      </c>
      <c r="G36" s="2">
        <f t="shared" si="0"/>
        <v>40.803147060185438</v>
      </c>
    </row>
    <row r="37" spans="1:7" x14ac:dyDescent="0.35">
      <c r="A37" t="s">
        <v>45</v>
      </c>
      <c r="B37" s="1">
        <v>45917</v>
      </c>
      <c r="C37" s="1">
        <v>45952.925683946756</v>
      </c>
      <c r="D37" t="s">
        <v>7</v>
      </c>
      <c r="E37" t="s">
        <v>10</v>
      </c>
      <c r="F37" s="8">
        <v>542747.30000000005</v>
      </c>
      <c r="G37" s="2">
        <f t="shared" si="0"/>
        <v>35.92568394675618</v>
      </c>
    </row>
    <row r="38" spans="1:7" x14ac:dyDescent="0.35">
      <c r="A38" t="s">
        <v>46</v>
      </c>
      <c r="B38" s="1">
        <v>45917</v>
      </c>
      <c r="C38" s="1">
        <v>45936.993217592593</v>
      </c>
      <c r="D38" t="s">
        <v>7</v>
      </c>
      <c r="E38" t="s">
        <v>8</v>
      </c>
      <c r="F38" s="8">
        <v>452157.65</v>
      </c>
      <c r="G38" s="2">
        <f t="shared" si="0"/>
        <v>19.993217592593282</v>
      </c>
    </row>
    <row r="39" spans="1:7" x14ac:dyDescent="0.35">
      <c r="A39" t="s">
        <v>47</v>
      </c>
      <c r="B39" s="1">
        <v>45918</v>
      </c>
      <c r="C39" s="1">
        <v>45931.910820636571</v>
      </c>
      <c r="D39" t="s">
        <v>7</v>
      </c>
      <c r="E39" t="s">
        <v>10</v>
      </c>
      <c r="F39" s="8">
        <v>754852.32</v>
      </c>
      <c r="G39" s="2">
        <f t="shared" si="0"/>
        <v>13.910820636570861</v>
      </c>
    </row>
    <row r="40" spans="1:7" x14ac:dyDescent="0.35">
      <c r="A40" t="s">
        <v>48</v>
      </c>
      <c r="B40" s="1">
        <v>45918</v>
      </c>
      <c r="C40" s="1">
        <v>45954.83580306713</v>
      </c>
      <c r="D40" t="s">
        <v>7</v>
      </c>
      <c r="E40" t="s">
        <v>8</v>
      </c>
      <c r="F40" s="8">
        <v>754852.32</v>
      </c>
      <c r="G40" s="2">
        <f t="shared" si="0"/>
        <v>36.835803067129746</v>
      </c>
    </row>
    <row r="41" spans="1:7" x14ac:dyDescent="0.35">
      <c r="A41" t="s">
        <v>49</v>
      </c>
      <c r="B41" s="1">
        <v>45918</v>
      </c>
      <c r="C41" s="1">
        <v>45951.886460266207</v>
      </c>
      <c r="D41" t="s">
        <v>7</v>
      </c>
      <c r="E41" t="s">
        <v>10</v>
      </c>
      <c r="F41" s="8">
        <v>254586.52</v>
      </c>
      <c r="G41" s="2">
        <f t="shared" si="0"/>
        <v>33.886460266206996</v>
      </c>
    </row>
    <row r="42" spans="1:7" x14ac:dyDescent="0.35">
      <c r="A42" t="s">
        <v>50</v>
      </c>
      <c r="B42" s="1">
        <v>45918</v>
      </c>
      <c r="C42" s="1">
        <v>45943.801790219906</v>
      </c>
      <c r="D42" t="s">
        <v>7</v>
      </c>
      <c r="E42" t="s">
        <v>10</v>
      </c>
      <c r="F42" s="8">
        <v>452157.65</v>
      </c>
      <c r="G42" s="2">
        <f t="shared" si="0"/>
        <v>25.801790219906252</v>
      </c>
    </row>
    <row r="43" spans="1:7" x14ac:dyDescent="0.35">
      <c r="A43" t="s">
        <v>51</v>
      </c>
      <c r="B43" s="1">
        <v>45918</v>
      </c>
      <c r="C43" s="1">
        <v>45947.902939270833</v>
      </c>
      <c r="D43" t="s">
        <v>7</v>
      </c>
      <c r="E43" t="s">
        <v>10</v>
      </c>
      <c r="F43" s="8">
        <v>215487.25</v>
      </c>
      <c r="G43" s="2">
        <f t="shared" si="0"/>
        <v>29.902939270832576</v>
      </c>
    </row>
    <row r="44" spans="1:7" x14ac:dyDescent="0.35">
      <c r="A44" t="s">
        <v>52</v>
      </c>
      <c r="B44" s="1">
        <v>45919</v>
      </c>
      <c r="C44" s="1">
        <v>45945.949032395831</v>
      </c>
      <c r="D44" t="s">
        <v>7</v>
      </c>
      <c r="E44" t="s">
        <v>8</v>
      </c>
      <c r="F44" s="8">
        <v>542747.30000000005</v>
      </c>
      <c r="G44" s="2">
        <f t="shared" si="0"/>
        <v>26.949032395830727</v>
      </c>
    </row>
    <row r="45" spans="1:7" x14ac:dyDescent="0.35">
      <c r="A45" t="s">
        <v>53</v>
      </c>
      <c r="B45" s="1">
        <v>45919</v>
      </c>
      <c r="C45" s="1">
        <v>45933.796624525465</v>
      </c>
      <c r="D45" t="s">
        <v>7</v>
      </c>
      <c r="E45" t="s">
        <v>8</v>
      </c>
      <c r="F45" s="8">
        <v>62848</v>
      </c>
      <c r="G45" s="2">
        <f t="shared" si="0"/>
        <v>14.796624525464722</v>
      </c>
    </row>
    <row r="46" spans="1:7" x14ac:dyDescent="0.35">
      <c r="A46" t="s">
        <v>54</v>
      </c>
      <c r="B46" s="1">
        <v>45923.953400613427</v>
      </c>
      <c r="C46" s="1">
        <v>45931.843020879627</v>
      </c>
      <c r="D46" t="s">
        <v>7</v>
      </c>
      <c r="E46" t="s">
        <v>8</v>
      </c>
      <c r="F46" s="8">
        <v>215487.25</v>
      </c>
      <c r="G46" s="2">
        <f t="shared" si="0"/>
        <v>7.8896202661999268</v>
      </c>
    </row>
    <row r="47" spans="1:7" x14ac:dyDescent="0.35">
      <c r="A47" t="s">
        <v>55</v>
      </c>
      <c r="B47" s="1">
        <v>45923.953400613427</v>
      </c>
      <c r="C47" s="1">
        <v>45954.96997071759</v>
      </c>
      <c r="D47" t="s">
        <v>7</v>
      </c>
      <c r="E47" t="s">
        <v>8</v>
      </c>
      <c r="F47" s="8">
        <v>1254658.3500000001</v>
      </c>
      <c r="G47" s="2">
        <f t="shared" si="0"/>
        <v>31.016570104162383</v>
      </c>
    </row>
    <row r="48" spans="1:7" x14ac:dyDescent="0.35">
      <c r="A48" t="s">
        <v>56</v>
      </c>
      <c r="B48" s="1">
        <v>45923.953400613427</v>
      </c>
      <c r="C48" s="1">
        <v>45960.729810381941</v>
      </c>
      <c r="D48" t="s">
        <v>7</v>
      </c>
      <c r="E48" t="s">
        <v>8</v>
      </c>
      <c r="F48" s="8">
        <v>167487</v>
      </c>
      <c r="G48" s="2">
        <f t="shared" si="0"/>
        <v>36.776409768513986</v>
      </c>
    </row>
    <row r="49" spans="1:7" x14ac:dyDescent="0.35">
      <c r="A49" t="s">
        <v>57</v>
      </c>
      <c r="B49" s="1">
        <v>45924.91984667824</v>
      </c>
      <c r="C49" s="1">
        <v>45958.999727627313</v>
      </c>
      <c r="D49" t="s">
        <v>7</v>
      </c>
      <c r="E49" t="s">
        <v>10</v>
      </c>
      <c r="F49" s="8">
        <v>254586.52</v>
      </c>
      <c r="G49" s="2">
        <f t="shared" si="0"/>
        <v>34.079880949073413</v>
      </c>
    </row>
    <row r="50" spans="1:7" x14ac:dyDescent="0.35">
      <c r="A50" t="s">
        <v>58</v>
      </c>
      <c r="B50" s="1">
        <v>45924.91984667824</v>
      </c>
      <c r="C50" s="1">
        <v>45947.866463831022</v>
      </c>
      <c r="D50" t="s">
        <v>7</v>
      </c>
      <c r="E50" t="s">
        <v>10</v>
      </c>
      <c r="F50" s="8">
        <v>658457.35</v>
      </c>
      <c r="G50" s="2">
        <f t="shared" si="0"/>
        <v>22.946617152781982</v>
      </c>
    </row>
    <row r="51" spans="1:7" x14ac:dyDescent="0.35">
      <c r="A51" t="s">
        <v>59</v>
      </c>
      <c r="B51" s="1">
        <v>45925.906431446761</v>
      </c>
      <c r="C51" s="1">
        <v>45951.798794942129</v>
      </c>
      <c r="D51" t="s">
        <v>7</v>
      </c>
      <c r="E51" t="s">
        <v>10</v>
      </c>
      <c r="F51" s="8">
        <v>645784.15</v>
      </c>
      <c r="G51" s="2">
        <f t="shared" si="0"/>
        <v>25.892363495368045</v>
      </c>
    </row>
    <row r="52" spans="1:7" x14ac:dyDescent="0.35">
      <c r="A52" t="s">
        <v>60</v>
      </c>
      <c r="B52" s="1">
        <v>45925.906431446761</v>
      </c>
      <c r="C52" s="1">
        <v>45957.837439444447</v>
      </c>
      <c r="D52" t="s">
        <v>7</v>
      </c>
      <c r="E52" t="s">
        <v>8</v>
      </c>
      <c r="F52" s="8">
        <v>645784.15</v>
      </c>
      <c r="G52" s="2">
        <f t="shared" si="0"/>
        <v>31.931007997685811</v>
      </c>
    </row>
    <row r="53" spans="1:7" x14ac:dyDescent="0.35">
      <c r="A53" t="s">
        <v>61</v>
      </c>
      <c r="B53" s="1">
        <v>45926.967199386578</v>
      </c>
      <c r="C53" s="1">
        <v>45945.936945972222</v>
      </c>
      <c r="D53" t="s">
        <v>7</v>
      </c>
      <c r="E53" t="s">
        <v>8</v>
      </c>
      <c r="F53" s="8">
        <v>70266</v>
      </c>
      <c r="G53" s="2">
        <f t="shared" si="0"/>
        <v>18.969746585644316</v>
      </c>
    </row>
    <row r="54" spans="1:7" x14ac:dyDescent="0.35">
      <c r="A54" t="s">
        <v>62</v>
      </c>
      <c r="B54" s="1">
        <v>45926.967199386578</v>
      </c>
      <c r="C54" s="1">
        <v>45951.821308148152</v>
      </c>
      <c r="D54" t="s">
        <v>7</v>
      </c>
      <c r="E54" t="s">
        <v>13</v>
      </c>
      <c r="F54" s="8">
        <v>205402</v>
      </c>
      <c r="G54" s="2">
        <f t="shared" si="0"/>
        <v>24.854108761574025</v>
      </c>
    </row>
    <row r="55" spans="1:7" x14ac:dyDescent="0.35">
      <c r="A55" t="s">
        <v>63</v>
      </c>
      <c r="B55" s="1">
        <v>45926.967199386578</v>
      </c>
      <c r="C55" s="1">
        <v>45947.885607372686</v>
      </c>
      <c r="D55" t="s">
        <v>7</v>
      </c>
      <c r="E55" t="s">
        <v>13</v>
      </c>
      <c r="F55" s="8">
        <v>325458.34999999998</v>
      </c>
      <c r="G55" s="2">
        <f t="shared" si="0"/>
        <v>20.918407986107923</v>
      </c>
    </row>
    <row r="56" spans="1:7" x14ac:dyDescent="0.35">
      <c r="A56" t="s">
        <v>64</v>
      </c>
      <c r="B56" s="1">
        <v>45926.982363645831</v>
      </c>
      <c r="C56" s="1">
        <v>45943.937593993054</v>
      </c>
      <c r="D56" t="s">
        <v>7</v>
      </c>
      <c r="E56" t="s">
        <v>8</v>
      </c>
      <c r="F56" s="8">
        <v>762526</v>
      </c>
      <c r="G56" s="2">
        <f t="shared" si="0"/>
        <v>16.955230347222823</v>
      </c>
    </row>
    <row r="57" spans="1:7" x14ac:dyDescent="0.35">
      <c r="A57" t="s">
        <v>65</v>
      </c>
      <c r="B57" s="1">
        <v>45926.982363645831</v>
      </c>
      <c r="C57" s="1">
        <v>45953.707075034719</v>
      </c>
      <c r="D57" t="s">
        <v>7</v>
      </c>
      <c r="E57" t="s">
        <v>10</v>
      </c>
      <c r="F57" s="8">
        <v>800850</v>
      </c>
      <c r="G57" s="2">
        <f t="shared" si="0"/>
        <v>26.724711388887954</v>
      </c>
    </row>
    <row r="58" spans="1:7" x14ac:dyDescent="0.35">
      <c r="A58" t="s">
        <v>66</v>
      </c>
      <c r="B58" s="1">
        <v>45926.982363645831</v>
      </c>
      <c r="C58" s="1">
        <v>45957.892729791667</v>
      </c>
      <c r="D58" t="s">
        <v>7</v>
      </c>
      <c r="E58" t="s">
        <v>10</v>
      </c>
      <c r="F58" s="8">
        <v>542747.30000000005</v>
      </c>
      <c r="G58" s="2">
        <f t="shared" si="0"/>
        <v>30.910366145835724</v>
      </c>
    </row>
    <row r="59" spans="1:7" x14ac:dyDescent="0.35">
      <c r="A59" t="s">
        <v>67</v>
      </c>
      <c r="B59" s="1">
        <v>45926.982363645831</v>
      </c>
      <c r="C59" s="1">
        <v>45946.931280879631</v>
      </c>
      <c r="D59" t="s">
        <v>7</v>
      </c>
      <c r="E59" t="s">
        <v>10</v>
      </c>
      <c r="F59" s="8">
        <v>254586.52</v>
      </c>
      <c r="G59" s="2">
        <f t="shared" si="0"/>
        <v>19.948917233799875</v>
      </c>
    </row>
    <row r="60" spans="1:7" x14ac:dyDescent="0.35">
      <c r="A60" t="s">
        <v>68</v>
      </c>
      <c r="B60" s="1">
        <v>45926.982363645831</v>
      </c>
      <c r="C60" s="1">
        <v>45960.889430694442</v>
      </c>
      <c r="D60" t="s">
        <v>7</v>
      </c>
      <c r="E60" t="s">
        <v>8</v>
      </c>
      <c r="F60" s="8">
        <v>154856.57999999999</v>
      </c>
      <c r="G60" s="2">
        <f t="shared" si="0"/>
        <v>33.90706704861077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Delivery appts daily</vt:lpstr>
      <vt:lpstr>daily unloaded trailer &amp; receov</vt:lpstr>
      <vt:lpstr>Weekly performance</vt:lpstr>
      <vt:lpstr>Recovered Value by Delay Type</vt:lpstr>
      <vt:lpstr>Average of Resolution Date</vt:lpstr>
      <vt:lpstr>KPI Summary</vt:lpstr>
      <vt:lpstr>weekly performance (pivot)</vt:lpstr>
      <vt:lpstr>Average (pivot)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Kuvan, Omer [C]</dc:creator>
  <cp:lastModifiedBy>Kuvan, Omer [C]</cp:lastModifiedBy>
  <dcterms:created xsi:type="dcterms:W3CDTF">2025-10-31T16:31:33Z</dcterms:created>
  <dcterms:modified xsi:type="dcterms:W3CDTF">2025-11-05T22:44:35Z</dcterms:modified>
</cp:coreProperties>
</file>